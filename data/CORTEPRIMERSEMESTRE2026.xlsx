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 Teacher\Documents\BOLETINES\Corte de Calificaciones\data\"/>
    </mc:Choice>
  </mc:AlternateContent>
  <xr:revisionPtr revIDLastSave="0" documentId="13_ncr:1_{E62648DD-20A8-4D56-9EE5-9C2CA6E4173B}" xr6:coauthVersionLast="47" xr6:coauthVersionMax="47" xr10:uidLastSave="{00000000-0000-0000-0000-000000000000}"/>
  <bookViews>
    <workbookView xWindow="9510" yWindow="0" windowWidth="9780" windowHeight="11370" xr2:uid="{A1D48B81-9DDC-468E-92F8-F1A357059321}"/>
  </bookViews>
  <sheets>
    <sheet name="DB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3" i="2" l="1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2" i="2"/>
  <c r="BK4" i="3"/>
  <c r="BK5" i="3"/>
  <c r="BK6" i="3"/>
  <c r="BK7" i="3"/>
  <c r="BK8" i="3"/>
  <c r="BK9" i="3"/>
  <c r="BK10" i="3"/>
  <c r="BK11" i="3"/>
  <c r="BK12" i="3"/>
  <c r="BK13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6" i="3"/>
  <c r="BK27" i="3"/>
  <c r="BK28" i="3"/>
  <c r="BK29" i="3"/>
  <c r="BK30" i="3"/>
  <c r="BK31" i="3"/>
  <c r="BK32" i="3"/>
  <c r="BK33" i="3"/>
  <c r="BK34" i="3"/>
  <c r="BK35" i="3"/>
  <c r="BK36" i="3"/>
  <c r="BK37" i="3"/>
  <c r="BK38" i="3"/>
  <c r="BK39" i="3"/>
  <c r="BK40" i="3"/>
  <c r="BK41" i="3"/>
  <c r="BK42" i="3"/>
  <c r="BK43" i="3"/>
  <c r="BK44" i="3"/>
  <c r="BK45" i="3"/>
  <c r="BK46" i="3"/>
  <c r="BK47" i="3"/>
  <c r="BK48" i="3"/>
  <c r="BK49" i="3"/>
  <c r="BK50" i="3"/>
  <c r="BK51" i="3"/>
  <c r="BK52" i="3"/>
  <c r="BK53" i="3"/>
  <c r="BK54" i="3"/>
  <c r="BK55" i="3"/>
  <c r="BK56" i="3"/>
  <c r="BK57" i="3"/>
  <c r="BK58" i="3"/>
  <c r="BK59" i="3"/>
  <c r="BK60" i="3"/>
  <c r="BK61" i="3"/>
  <c r="BK62" i="3"/>
  <c r="BP4" i="4"/>
  <c r="BP5" i="4"/>
  <c r="BP6" i="4"/>
  <c r="BP7" i="4"/>
  <c r="BP8" i="4"/>
  <c r="BP9" i="4"/>
  <c r="BP10" i="4"/>
  <c r="BP11" i="4"/>
  <c r="BP12" i="4"/>
  <c r="BP13" i="4"/>
  <c r="BP14" i="4"/>
  <c r="BP15" i="4"/>
  <c r="BP16" i="4"/>
  <c r="BP17" i="4"/>
  <c r="BP18" i="4"/>
  <c r="BP19" i="4"/>
  <c r="BP20" i="4"/>
  <c r="BP21" i="4"/>
  <c r="BP22" i="4"/>
  <c r="BP23" i="4"/>
  <c r="BP24" i="4"/>
  <c r="BP25" i="4"/>
  <c r="BP26" i="4"/>
  <c r="BP27" i="4"/>
  <c r="BP28" i="4"/>
  <c r="BP29" i="4"/>
  <c r="BP30" i="4"/>
  <c r="BP31" i="4"/>
  <c r="BP32" i="4"/>
  <c r="BP33" i="4"/>
  <c r="BP34" i="4"/>
  <c r="BP35" i="4"/>
  <c r="BP36" i="4"/>
  <c r="BP37" i="4"/>
  <c r="BP38" i="4"/>
  <c r="BP39" i="4"/>
  <c r="BP40" i="4"/>
  <c r="BP41" i="4"/>
  <c r="BP42" i="4"/>
  <c r="BP43" i="4"/>
  <c r="BP44" i="4"/>
  <c r="BP45" i="4"/>
  <c r="BP46" i="4"/>
  <c r="BP47" i="4"/>
  <c r="BP48" i="4"/>
  <c r="BP49" i="4"/>
  <c r="BP50" i="4"/>
  <c r="BP51" i="4"/>
  <c r="BP52" i="4"/>
  <c r="BP53" i="4"/>
  <c r="BP54" i="4"/>
  <c r="BP55" i="4"/>
  <c r="BP56" i="4"/>
  <c r="BP3" i="4"/>
  <c r="BD3" i="4"/>
  <c r="BC3" i="4"/>
  <c r="BC59" i="3"/>
  <c r="BC61" i="3"/>
  <c r="BD61" i="3"/>
  <c r="BC62" i="3"/>
  <c r="BD62" i="3"/>
  <c r="BD60" i="3"/>
  <c r="BC60" i="3"/>
  <c r="BD59" i="3"/>
  <c r="BD58" i="3"/>
  <c r="BC58" i="3"/>
  <c r="BD57" i="3"/>
  <c r="BC57" i="3"/>
  <c r="BD56" i="3"/>
  <c r="BC56" i="3"/>
  <c r="BD55" i="3"/>
  <c r="BC55" i="3"/>
  <c r="BD54" i="3"/>
  <c r="BC54" i="3"/>
  <c r="BD53" i="3"/>
  <c r="BC53" i="3"/>
  <c r="BD52" i="3"/>
  <c r="BC52" i="3"/>
  <c r="BD51" i="3"/>
  <c r="BC51" i="3"/>
  <c r="BD50" i="3"/>
  <c r="BC50" i="3"/>
  <c r="BD49" i="3"/>
  <c r="BC49" i="3"/>
  <c r="BD48" i="3"/>
  <c r="BC48" i="3"/>
  <c r="BD47" i="3"/>
  <c r="BC47" i="3"/>
  <c r="BD46" i="3"/>
  <c r="BC46" i="3"/>
  <c r="BD45" i="3"/>
  <c r="BC45" i="3"/>
  <c r="BD44" i="3"/>
  <c r="BC44" i="3"/>
  <c r="BD43" i="3"/>
  <c r="BC43" i="3"/>
  <c r="BD42" i="3"/>
  <c r="BC42" i="3"/>
  <c r="BD41" i="3"/>
  <c r="BC41" i="3"/>
  <c r="BD40" i="3"/>
  <c r="BC40" i="3"/>
  <c r="BD39" i="3"/>
  <c r="BC39" i="3"/>
  <c r="BD38" i="3"/>
  <c r="BC38" i="3"/>
  <c r="BD37" i="3"/>
  <c r="BC37" i="3"/>
  <c r="BD36" i="3"/>
  <c r="BC36" i="3"/>
  <c r="BD35" i="3"/>
  <c r="BC35" i="3"/>
  <c r="BD34" i="3"/>
  <c r="BC34" i="3"/>
  <c r="BD33" i="3"/>
  <c r="BC33" i="3"/>
  <c r="BD32" i="3"/>
  <c r="BC32" i="3"/>
  <c r="BC4" i="3"/>
  <c r="BD4" i="3"/>
  <c r="BC5" i="3"/>
  <c r="BD5" i="3"/>
  <c r="BC6" i="3"/>
  <c r="BD6" i="3"/>
  <c r="BC7" i="3"/>
  <c r="BD7" i="3"/>
  <c r="BC8" i="3"/>
  <c r="BD8" i="3"/>
  <c r="BC9" i="3"/>
  <c r="BD9" i="3"/>
  <c r="BC10" i="3"/>
  <c r="BD10" i="3"/>
  <c r="BC11" i="3"/>
  <c r="BD11" i="3"/>
  <c r="BC12" i="3"/>
  <c r="BD12" i="3"/>
  <c r="BC13" i="3"/>
  <c r="BD13" i="3"/>
  <c r="BC14" i="3"/>
  <c r="BD14" i="3"/>
  <c r="BC15" i="3"/>
  <c r="BD15" i="3"/>
  <c r="BC16" i="3"/>
  <c r="BD16" i="3"/>
  <c r="BC17" i="3"/>
  <c r="BD17" i="3"/>
  <c r="BC18" i="3"/>
  <c r="BD18" i="3"/>
  <c r="BC19" i="3"/>
  <c r="BD19" i="3"/>
  <c r="BC20" i="3"/>
  <c r="BD20" i="3"/>
  <c r="BC21" i="3"/>
  <c r="BD21" i="3"/>
  <c r="BC22" i="3"/>
  <c r="BD22" i="3"/>
  <c r="BC23" i="3"/>
  <c r="BD23" i="3"/>
  <c r="BC24" i="3"/>
  <c r="BD24" i="3"/>
  <c r="BC25" i="3"/>
  <c r="BD25" i="3"/>
  <c r="BC26" i="3"/>
  <c r="BD26" i="3"/>
  <c r="BC27" i="3"/>
  <c r="BD27" i="3"/>
  <c r="BC28" i="3"/>
  <c r="BD28" i="3"/>
  <c r="BC29" i="3"/>
  <c r="BD29" i="3"/>
  <c r="BC30" i="3"/>
  <c r="BD30" i="3"/>
  <c r="BC31" i="3"/>
  <c r="BD31" i="3"/>
  <c r="BD3" i="3"/>
  <c r="BC3" i="3"/>
  <c r="BE63" i="2"/>
  <c r="BD63" i="2"/>
  <c r="BE62" i="2"/>
  <c r="BD62" i="2"/>
  <c r="BE61" i="2"/>
  <c r="BD61" i="2"/>
  <c r="BE60" i="2"/>
  <c r="BD60" i="2"/>
  <c r="BE59" i="2"/>
  <c r="BD59" i="2"/>
  <c r="BE58" i="2"/>
  <c r="BD58" i="2"/>
  <c r="BE57" i="2"/>
  <c r="BD57" i="2"/>
  <c r="BE56" i="2"/>
  <c r="BD56" i="2"/>
  <c r="BE55" i="2"/>
  <c r="BD55" i="2"/>
  <c r="BE54" i="2"/>
  <c r="BD54" i="2"/>
  <c r="BE53" i="2"/>
  <c r="BD53" i="2"/>
  <c r="BE52" i="2"/>
  <c r="BD52" i="2"/>
  <c r="BE51" i="2"/>
  <c r="BD51" i="2"/>
  <c r="BE50" i="2"/>
  <c r="BD50" i="2"/>
  <c r="BE49" i="2"/>
  <c r="BD49" i="2"/>
  <c r="BE48" i="2"/>
  <c r="BD48" i="2"/>
  <c r="BE47" i="2"/>
  <c r="BD47" i="2"/>
  <c r="BE46" i="2"/>
  <c r="BD46" i="2"/>
  <c r="BE45" i="2"/>
  <c r="BD45" i="2"/>
  <c r="BE44" i="2"/>
  <c r="BD44" i="2"/>
  <c r="BE43" i="2"/>
  <c r="BD43" i="2"/>
  <c r="BE42" i="2"/>
  <c r="BD42" i="2"/>
  <c r="BE41" i="2"/>
  <c r="BD41" i="2"/>
  <c r="BE40" i="2"/>
  <c r="BD40" i="2"/>
  <c r="BE39" i="2"/>
  <c r="BD39" i="2"/>
  <c r="BE38" i="2"/>
  <c r="BD38" i="2"/>
  <c r="BE37" i="2"/>
  <c r="BD37" i="2"/>
  <c r="BE36" i="2"/>
  <c r="BD36" i="2"/>
  <c r="BE35" i="2"/>
  <c r="BD35" i="2"/>
  <c r="BE34" i="2"/>
  <c r="BD34" i="2"/>
  <c r="BE33" i="2"/>
  <c r="BD33" i="2"/>
  <c r="BD14" i="2"/>
  <c r="BE14" i="2"/>
  <c r="BD10" i="2"/>
  <c r="BE10" i="2"/>
  <c r="BD27" i="2"/>
  <c r="BE27" i="2"/>
  <c r="BD30" i="2"/>
  <c r="BE30" i="2"/>
  <c r="BD6" i="2"/>
  <c r="BE6" i="2"/>
  <c r="BD32" i="2"/>
  <c r="BE32" i="2"/>
  <c r="BD9" i="2"/>
  <c r="BE9" i="2"/>
  <c r="BD2" i="2"/>
  <c r="BE2" i="2"/>
  <c r="BD28" i="2"/>
  <c r="BE28" i="2"/>
  <c r="BD13" i="2"/>
  <c r="BE13" i="2"/>
  <c r="BD25" i="2"/>
  <c r="BE25" i="2"/>
  <c r="BD15" i="2"/>
  <c r="BE15" i="2"/>
  <c r="BD22" i="2"/>
  <c r="BE22" i="2"/>
  <c r="BD29" i="2"/>
  <c r="BE29" i="2"/>
  <c r="BD31" i="2"/>
  <c r="BE31" i="2"/>
  <c r="BD7" i="2"/>
  <c r="BE7" i="2"/>
  <c r="BD4" i="2"/>
  <c r="BE4" i="2"/>
  <c r="BD17" i="2"/>
  <c r="BE17" i="2"/>
  <c r="BD26" i="2"/>
  <c r="BE26" i="2"/>
  <c r="BD23" i="2"/>
  <c r="BE23" i="2"/>
  <c r="BD21" i="2"/>
  <c r="BE21" i="2"/>
  <c r="BD3" i="2"/>
  <c r="BE3" i="2"/>
  <c r="BD19" i="2"/>
  <c r="BE19" i="2"/>
  <c r="BD12" i="2"/>
  <c r="BE12" i="2"/>
  <c r="BD18" i="2"/>
  <c r="BE18" i="2"/>
  <c r="BD8" i="2"/>
  <c r="BE8" i="2"/>
  <c r="BD5" i="2"/>
  <c r="BE5" i="2"/>
  <c r="BD24" i="2"/>
  <c r="BE24" i="2"/>
  <c r="BD16" i="2"/>
  <c r="BE16" i="2"/>
  <c r="BD11" i="2"/>
  <c r="BE11" i="2"/>
  <c r="BE20" i="2"/>
  <c r="BD20" i="2"/>
</calcChain>
</file>

<file path=xl/sharedStrings.xml><?xml version="1.0" encoding="utf-8"?>
<sst xmlns="http://schemas.openxmlformats.org/spreadsheetml/2006/main" count="11056" uniqueCount="677">
  <si>
    <t>ID</t>
  </si>
  <si>
    <t>Nombre</t>
  </si>
  <si>
    <t>Apellido</t>
  </si>
  <si>
    <t>Grupo</t>
  </si>
  <si>
    <t>Turno</t>
  </si>
  <si>
    <t>Ingles</t>
  </si>
  <si>
    <t>Informatica</t>
  </si>
  <si>
    <t>Valores</t>
  </si>
  <si>
    <t>Ausencias</t>
  </si>
  <si>
    <t>Tardanzas</t>
  </si>
  <si>
    <t>Cuota</t>
  </si>
  <si>
    <t>Ashley</t>
  </si>
  <si>
    <t>Adames</t>
  </si>
  <si>
    <t>AM</t>
  </si>
  <si>
    <t>Luis</t>
  </si>
  <si>
    <t>Agrazal</t>
  </si>
  <si>
    <t>Josué</t>
  </si>
  <si>
    <t>Álvarez</t>
  </si>
  <si>
    <t>Víctor</t>
  </si>
  <si>
    <t>Blanco</t>
  </si>
  <si>
    <t>Ameth</t>
  </si>
  <si>
    <t>Cantillo</t>
  </si>
  <si>
    <t>José</t>
  </si>
  <si>
    <t>Domínguez</t>
  </si>
  <si>
    <t>Tomás</t>
  </si>
  <si>
    <t>Duarte</t>
  </si>
  <si>
    <t>Angie</t>
  </si>
  <si>
    <t>Gordón</t>
  </si>
  <si>
    <t>Aldo</t>
  </si>
  <si>
    <t>Greco</t>
  </si>
  <si>
    <t>Yaibeth</t>
  </si>
  <si>
    <t>Hernández</t>
  </si>
  <si>
    <t>Sara</t>
  </si>
  <si>
    <t>Herrera</t>
  </si>
  <si>
    <t>Brithany</t>
  </si>
  <si>
    <t>Lana</t>
  </si>
  <si>
    <t>Adrián</t>
  </si>
  <si>
    <t>Magallón</t>
  </si>
  <si>
    <t>Génesis</t>
  </si>
  <si>
    <t>Martínez</t>
  </si>
  <si>
    <t>Xayeli</t>
  </si>
  <si>
    <t>Monroy</t>
  </si>
  <si>
    <t>Katherin</t>
  </si>
  <si>
    <t>Obregón</t>
  </si>
  <si>
    <t>Olivardía</t>
  </si>
  <si>
    <t>Nathaly</t>
  </si>
  <si>
    <t>Ortega</t>
  </si>
  <si>
    <t>Abdias</t>
  </si>
  <si>
    <t>Ovalles</t>
  </si>
  <si>
    <t>Loreyn</t>
  </si>
  <si>
    <t>Pimentel</t>
  </si>
  <si>
    <t>Ramos</t>
  </si>
  <si>
    <t>Lorena</t>
  </si>
  <si>
    <t>Rodríguez</t>
  </si>
  <si>
    <t>Victoria</t>
  </si>
  <si>
    <t>Romero</t>
  </si>
  <si>
    <t>Bryan</t>
  </si>
  <si>
    <t>Sánchez</t>
  </si>
  <si>
    <t>Laura</t>
  </si>
  <si>
    <t>Sanjur</t>
  </si>
  <si>
    <t>Alison</t>
  </si>
  <si>
    <t>Santos</t>
  </si>
  <si>
    <t>Betzaida</t>
  </si>
  <si>
    <t>Isaac</t>
  </si>
  <si>
    <t>Solórzano</t>
  </si>
  <si>
    <t>Álvaro</t>
  </si>
  <si>
    <t>Tuñón</t>
  </si>
  <si>
    <t>Jesús</t>
  </si>
  <si>
    <t xml:space="preserve">Vásquez </t>
  </si>
  <si>
    <t>Aneis</t>
  </si>
  <si>
    <t>Villagra</t>
  </si>
  <si>
    <t>Alveo</t>
  </si>
  <si>
    <t>PM</t>
  </si>
  <si>
    <t>Karla</t>
  </si>
  <si>
    <t>Arauz</t>
  </si>
  <si>
    <t>Rebeca</t>
  </si>
  <si>
    <t>Isamar</t>
  </si>
  <si>
    <t>Atencio</t>
  </si>
  <si>
    <t>Massiel</t>
  </si>
  <si>
    <t>Barrera</t>
  </si>
  <si>
    <t>Aristides</t>
  </si>
  <si>
    <t>Barría</t>
  </si>
  <si>
    <t>Jared</t>
  </si>
  <si>
    <t>Natalia</t>
  </si>
  <si>
    <t>Bósquez</t>
  </si>
  <si>
    <t>Jassiel</t>
  </si>
  <si>
    <t>Caballero</t>
  </si>
  <si>
    <t>Estefani</t>
  </si>
  <si>
    <t>Carpintero</t>
  </si>
  <si>
    <t>Santiago</t>
  </si>
  <si>
    <t>Carpio</t>
  </si>
  <si>
    <t>Hanzel</t>
  </si>
  <si>
    <t>Chen</t>
  </si>
  <si>
    <t>Clarke</t>
  </si>
  <si>
    <t>Greisy</t>
  </si>
  <si>
    <t>De León</t>
  </si>
  <si>
    <t>Sharlyn</t>
  </si>
  <si>
    <t>Evans</t>
  </si>
  <si>
    <t>Ana</t>
  </si>
  <si>
    <t>Fuentes</t>
  </si>
  <si>
    <t>García</t>
  </si>
  <si>
    <t>Daniela</t>
  </si>
  <si>
    <t>González</t>
  </si>
  <si>
    <t>Rudi</t>
  </si>
  <si>
    <t>Madrid</t>
  </si>
  <si>
    <t>Halana</t>
  </si>
  <si>
    <t>Medina</t>
  </si>
  <si>
    <t>Elías</t>
  </si>
  <si>
    <t>Mondolis</t>
  </si>
  <si>
    <t>Iván</t>
  </si>
  <si>
    <t>Morán</t>
  </si>
  <si>
    <t>Joel</t>
  </si>
  <si>
    <t>Moreno</t>
  </si>
  <si>
    <t>Yulehimmy</t>
  </si>
  <si>
    <t>Núñez</t>
  </si>
  <si>
    <t>Ninoshka</t>
  </si>
  <si>
    <t>Ortiz</t>
  </si>
  <si>
    <t>Pérez</t>
  </si>
  <si>
    <t xml:space="preserve">Isabella </t>
  </si>
  <si>
    <t>Pinto</t>
  </si>
  <si>
    <t>Adrianys</t>
  </si>
  <si>
    <t>Schloss</t>
  </si>
  <si>
    <t>Noemí</t>
  </si>
  <si>
    <t>Valdés</t>
  </si>
  <si>
    <t>Rubén</t>
  </si>
  <si>
    <t>Villalobos</t>
  </si>
  <si>
    <t>Dileidys</t>
  </si>
  <si>
    <t>Aguilar</t>
  </si>
  <si>
    <t>Batista</t>
  </si>
  <si>
    <t>Alexander</t>
  </si>
  <si>
    <t>Castillo</t>
  </si>
  <si>
    <t>Cristofer</t>
  </si>
  <si>
    <t>Cerrud</t>
  </si>
  <si>
    <t>Anyeli</t>
  </si>
  <si>
    <t>Cruz</t>
  </si>
  <si>
    <t>Carlos</t>
  </si>
  <si>
    <t>Espino</t>
  </si>
  <si>
    <t>Edier</t>
  </si>
  <si>
    <t>Ariadne</t>
  </si>
  <si>
    <t>Nery</t>
  </si>
  <si>
    <t>Jones</t>
  </si>
  <si>
    <t>Yelenis</t>
  </si>
  <si>
    <t>Melisa</t>
  </si>
  <si>
    <t>Molina</t>
  </si>
  <si>
    <t>Keitlyn</t>
  </si>
  <si>
    <t>Sophia</t>
  </si>
  <si>
    <t>Mosquera</t>
  </si>
  <si>
    <t>John</t>
  </si>
  <si>
    <t>Moya</t>
  </si>
  <si>
    <t>Marlys</t>
  </si>
  <si>
    <t>Nuñez</t>
  </si>
  <si>
    <t>Diana</t>
  </si>
  <si>
    <t>Peñalba</t>
  </si>
  <si>
    <t>Bridgeth</t>
  </si>
  <si>
    <t>Porras</t>
  </si>
  <si>
    <t>Kenneth</t>
  </si>
  <si>
    <t>Dereck</t>
  </si>
  <si>
    <t>Santamaría</t>
  </si>
  <si>
    <t>Yuliani</t>
  </si>
  <si>
    <t>Tenorio</t>
  </si>
  <si>
    <t>Nini</t>
  </si>
  <si>
    <t>Tobón</t>
  </si>
  <si>
    <t>Esther</t>
  </si>
  <si>
    <t>Torres</t>
  </si>
  <si>
    <t>Samira</t>
  </si>
  <si>
    <t>Vega</t>
  </si>
  <si>
    <t>Carenz</t>
  </si>
  <si>
    <t>Venegas</t>
  </si>
  <si>
    <t>Zabala</t>
  </si>
  <si>
    <t>Jorge</t>
  </si>
  <si>
    <t>Alain</t>
  </si>
  <si>
    <t>Paula</t>
  </si>
  <si>
    <t>Almanza</t>
  </si>
  <si>
    <t>Estefany</t>
  </si>
  <si>
    <t>Bailarin</t>
  </si>
  <si>
    <t>Margareth</t>
  </si>
  <si>
    <t>Baker</t>
  </si>
  <si>
    <t>Hilary</t>
  </si>
  <si>
    <t>Brias</t>
  </si>
  <si>
    <t>Serena</t>
  </si>
  <si>
    <t>Carvajal</t>
  </si>
  <si>
    <t>Marliz</t>
  </si>
  <si>
    <t>Anais</t>
  </si>
  <si>
    <t>Garcés</t>
  </si>
  <si>
    <t>María</t>
  </si>
  <si>
    <t>David</t>
  </si>
  <si>
    <t>Keribel</t>
  </si>
  <si>
    <t>Guerrero</t>
  </si>
  <si>
    <t>Caleb</t>
  </si>
  <si>
    <t>London</t>
  </si>
  <si>
    <t>Juan</t>
  </si>
  <si>
    <t>Miranda</t>
  </si>
  <si>
    <t>Jean</t>
  </si>
  <si>
    <t>Ojo</t>
  </si>
  <si>
    <t>Samuel</t>
  </si>
  <si>
    <t>Pájaro</t>
  </si>
  <si>
    <t>Eduardo</t>
  </si>
  <si>
    <t>Angel</t>
  </si>
  <si>
    <t>Pineda</t>
  </si>
  <si>
    <t>Emely</t>
  </si>
  <si>
    <t>Emanuel</t>
  </si>
  <si>
    <t>Pitty</t>
  </si>
  <si>
    <t>Kathlyn</t>
  </si>
  <si>
    <t>Quintero</t>
  </si>
  <si>
    <t>Lian</t>
  </si>
  <si>
    <t>Yilenis</t>
  </si>
  <si>
    <t>Alessia</t>
  </si>
  <si>
    <t>Arian</t>
  </si>
  <si>
    <t>Adolfo</t>
  </si>
  <si>
    <t>Tejeira</t>
  </si>
  <si>
    <t>Rosemarie</t>
  </si>
  <si>
    <t>Eudelys</t>
  </si>
  <si>
    <t>Daniel</t>
  </si>
  <si>
    <t>Villar</t>
  </si>
  <si>
    <t>Daribet</t>
  </si>
  <si>
    <t>Villarreal</t>
  </si>
  <si>
    <t>Leiah</t>
  </si>
  <si>
    <t>Mathias</t>
  </si>
  <si>
    <t>Ariel</t>
  </si>
  <si>
    <t>Anria</t>
  </si>
  <si>
    <t>Arianne</t>
  </si>
  <si>
    <t>Aspedilla</t>
  </si>
  <si>
    <t>Deyna</t>
  </si>
  <si>
    <t>Beckford</t>
  </si>
  <si>
    <t>Bustamante</t>
  </si>
  <si>
    <t>Chávez</t>
  </si>
  <si>
    <t>Isabelle</t>
  </si>
  <si>
    <t>Davey</t>
  </si>
  <si>
    <t>Edward</t>
  </si>
  <si>
    <t>De Orta</t>
  </si>
  <si>
    <t>Camila</t>
  </si>
  <si>
    <t>Di Crescenzo</t>
  </si>
  <si>
    <t>Flores</t>
  </si>
  <si>
    <t>Gladys</t>
  </si>
  <si>
    <t>Celisbeth</t>
  </si>
  <si>
    <t>Martez</t>
  </si>
  <si>
    <t>Stefany</t>
  </si>
  <si>
    <t>Javier</t>
  </si>
  <si>
    <t>Matos</t>
  </si>
  <si>
    <t>Chelsea</t>
  </si>
  <si>
    <t>Montenegro</t>
  </si>
  <si>
    <t>Morales</t>
  </si>
  <si>
    <t>Angeline</t>
  </si>
  <si>
    <t>Myrie</t>
  </si>
  <si>
    <t>Rivas</t>
  </si>
  <si>
    <t>Alexis</t>
  </si>
  <si>
    <t>Johan</t>
  </si>
  <si>
    <t>Francis</t>
  </si>
  <si>
    <t>Nayeli</t>
  </si>
  <si>
    <t>Daryelis</t>
  </si>
  <si>
    <t>Willians</t>
  </si>
  <si>
    <t>Jenny</t>
  </si>
  <si>
    <t>Zhang</t>
  </si>
  <si>
    <t>Abrego</t>
  </si>
  <si>
    <t>Aizprua</t>
  </si>
  <si>
    <t>Randol</t>
  </si>
  <si>
    <t>Aparicio</t>
  </si>
  <si>
    <t>Jaslene</t>
  </si>
  <si>
    <t>Cano</t>
  </si>
  <si>
    <t>Lizmarys</t>
  </si>
  <si>
    <t>Nohelia</t>
  </si>
  <si>
    <t>Castro</t>
  </si>
  <si>
    <t>Margaret</t>
  </si>
  <si>
    <t>Cedeño</t>
  </si>
  <si>
    <t>Aleanys</t>
  </si>
  <si>
    <t>Gómez</t>
  </si>
  <si>
    <t>Reyna</t>
  </si>
  <si>
    <t>Kristy</t>
  </si>
  <si>
    <t>Josseline</t>
  </si>
  <si>
    <t>Jaramillo</t>
  </si>
  <si>
    <t>Alejandra</t>
  </si>
  <si>
    <t>Magdalena</t>
  </si>
  <si>
    <t>Mendoza</t>
  </si>
  <si>
    <t>Khatclyne</t>
  </si>
  <si>
    <t>Mojíca</t>
  </si>
  <si>
    <t>Muñoz</t>
  </si>
  <si>
    <t>Simón</t>
  </si>
  <si>
    <t>Noemi</t>
  </si>
  <si>
    <t>Pandales</t>
  </si>
  <si>
    <t>Milagros</t>
  </si>
  <si>
    <t>Real</t>
  </si>
  <si>
    <t>Solís</t>
  </si>
  <si>
    <t>Angely</t>
  </si>
  <si>
    <t>Vargas</t>
  </si>
  <si>
    <t>Valentín</t>
  </si>
  <si>
    <t>A</t>
  </si>
  <si>
    <t>GRUPO AM</t>
  </si>
  <si>
    <t>March</t>
  </si>
  <si>
    <t>April</t>
  </si>
  <si>
    <t>May</t>
  </si>
  <si>
    <t>Total</t>
  </si>
  <si>
    <t>P</t>
  </si>
  <si>
    <t>T</t>
  </si>
  <si>
    <t>Column2</t>
  </si>
  <si>
    <t>Column3</t>
  </si>
  <si>
    <t>Column4</t>
  </si>
  <si>
    <t>2-Mar</t>
  </si>
  <si>
    <t>3-Mar</t>
  </si>
  <si>
    <t>4-Mar</t>
  </si>
  <si>
    <t>5-Mar</t>
  </si>
  <si>
    <t>6-Mar</t>
  </si>
  <si>
    <t>9-Mar</t>
  </si>
  <si>
    <t>10-Mar</t>
  </si>
  <si>
    <t>11-Mar</t>
  </si>
  <si>
    <t>12-Mar</t>
  </si>
  <si>
    <t>13-Mar</t>
  </si>
  <si>
    <t>16-Mar</t>
  </si>
  <si>
    <t>17-Mar</t>
  </si>
  <si>
    <t>18-Mar</t>
  </si>
  <si>
    <t>19-Mar</t>
  </si>
  <si>
    <t>20-Mar</t>
  </si>
  <si>
    <t>23-Mar</t>
  </si>
  <si>
    <t>24-Mar</t>
  </si>
  <si>
    <t>25-Mar</t>
  </si>
  <si>
    <t>26-Mar</t>
  </si>
  <si>
    <t>30-Mar</t>
  </si>
  <si>
    <t>31-Mar</t>
  </si>
  <si>
    <t>1-Apr</t>
  </si>
  <si>
    <t>6-Apr</t>
  </si>
  <si>
    <t>7-Apr</t>
  </si>
  <si>
    <t>8-Apr</t>
  </si>
  <si>
    <t>9-Apr</t>
  </si>
  <si>
    <t>10-Apr</t>
  </si>
  <si>
    <t>13-Apr</t>
  </si>
  <si>
    <t>14-Apr</t>
  </si>
  <si>
    <t>15-Apr</t>
  </si>
  <si>
    <t>16-Apr</t>
  </si>
  <si>
    <t>17-Apr</t>
  </si>
  <si>
    <t>20-Apr</t>
  </si>
  <si>
    <t>21-Apr</t>
  </si>
  <si>
    <t>22-Apr</t>
  </si>
  <si>
    <t>23-Apr</t>
  </si>
  <si>
    <t>24-Apr</t>
  </si>
  <si>
    <t>27-Apr</t>
  </si>
  <si>
    <t>28-Apr</t>
  </si>
  <si>
    <t>29-Apr</t>
  </si>
  <si>
    <t>30-Apr</t>
  </si>
  <si>
    <t>4-May</t>
  </si>
  <si>
    <t>5-May</t>
  </si>
  <si>
    <t>6-May</t>
  </si>
  <si>
    <t>7-May</t>
  </si>
  <si>
    <t>8-May</t>
  </si>
  <si>
    <t>11-May</t>
  </si>
  <si>
    <t>12-May</t>
  </si>
  <si>
    <t>13-May</t>
  </si>
  <si>
    <t>14-May</t>
  </si>
  <si>
    <t>15-May</t>
  </si>
  <si>
    <t>Dileydis</t>
  </si>
  <si>
    <t xml:space="preserve">Ashley </t>
  </si>
  <si>
    <t xml:space="preserve">Luis </t>
  </si>
  <si>
    <t xml:space="preserve">Josue </t>
  </si>
  <si>
    <t xml:space="preserve">Víctor </t>
  </si>
  <si>
    <t xml:space="preserve">Ameth </t>
  </si>
  <si>
    <t xml:space="preserve">José </t>
  </si>
  <si>
    <t xml:space="preserve">Tomas </t>
  </si>
  <si>
    <t xml:space="preserve">Angie </t>
  </si>
  <si>
    <t xml:space="preserve">Aldo </t>
  </si>
  <si>
    <t xml:space="preserve">Sara </t>
  </si>
  <si>
    <t xml:space="preserve">Brithany </t>
  </si>
  <si>
    <t xml:space="preserve">Adrián </t>
  </si>
  <si>
    <t xml:space="preserve">Xayeli </t>
  </si>
  <si>
    <t xml:space="preserve">Nathaly </t>
  </si>
  <si>
    <t xml:space="preserve">Abdias </t>
  </si>
  <si>
    <t xml:space="preserve">Loreyn </t>
  </si>
  <si>
    <t xml:space="preserve">Génesis </t>
  </si>
  <si>
    <t xml:space="preserve">Lorena </t>
  </si>
  <si>
    <t xml:space="preserve">Victoria </t>
  </si>
  <si>
    <t xml:space="preserve">Bryan </t>
  </si>
  <si>
    <t xml:space="preserve">Laura </t>
  </si>
  <si>
    <t xml:space="preserve">Alison </t>
  </si>
  <si>
    <t xml:space="preserve">Betzaida </t>
  </si>
  <si>
    <t xml:space="preserve">Alvaro </t>
  </si>
  <si>
    <t xml:space="preserve">Jesús </t>
  </si>
  <si>
    <t xml:space="preserve">Aneis </t>
  </si>
  <si>
    <t xml:space="preserve">Karla </t>
  </si>
  <si>
    <t xml:space="preserve">Isamar </t>
  </si>
  <si>
    <t xml:space="preserve">Massiel </t>
  </si>
  <si>
    <t xml:space="preserve">Jared </t>
  </si>
  <si>
    <t xml:space="preserve">Aristides </t>
  </si>
  <si>
    <t xml:space="preserve">Jassiel </t>
  </si>
  <si>
    <t xml:space="preserve">Estefani </t>
  </si>
  <si>
    <t xml:space="preserve">Santiago </t>
  </si>
  <si>
    <t xml:space="preserve">Hanzel </t>
  </si>
  <si>
    <t xml:space="preserve">Natalia </t>
  </si>
  <si>
    <t xml:space="preserve">Greisy </t>
  </si>
  <si>
    <t xml:space="preserve">Sharlyn </t>
  </si>
  <si>
    <t>Adrian</t>
  </si>
  <si>
    <t xml:space="preserve">Rudi </t>
  </si>
  <si>
    <t xml:space="preserve">Daniela </t>
  </si>
  <si>
    <t xml:space="preserve">Halana </t>
  </si>
  <si>
    <t xml:space="preserve">Ivan </t>
  </si>
  <si>
    <t xml:space="preserve">Joel </t>
  </si>
  <si>
    <t xml:space="preserve">Yulehimmy </t>
  </si>
  <si>
    <t xml:space="preserve">Ninoshka </t>
  </si>
  <si>
    <t xml:space="preserve">Adrianys </t>
  </si>
  <si>
    <t xml:space="preserve">Noemí </t>
  </si>
  <si>
    <t xml:space="preserve">Rubén </t>
  </si>
  <si>
    <t xml:space="preserve">Dileidys </t>
  </si>
  <si>
    <t xml:space="preserve">Jorge </t>
  </si>
  <si>
    <t xml:space="preserve">Margareth </t>
  </si>
  <si>
    <t xml:space="preserve">Hilary </t>
  </si>
  <si>
    <t xml:space="preserve">Serena </t>
  </si>
  <si>
    <t xml:space="preserve">Anais </t>
  </si>
  <si>
    <t xml:space="preserve">Maria </t>
  </si>
  <si>
    <t xml:space="preserve">David </t>
  </si>
  <si>
    <t xml:space="preserve">Caleb </t>
  </si>
  <si>
    <t xml:space="preserve">Juan </t>
  </si>
  <si>
    <t xml:space="preserve">Jean </t>
  </si>
  <si>
    <t xml:space="preserve">Samuel </t>
  </si>
  <si>
    <t xml:space="preserve">Eduardo </t>
  </si>
  <si>
    <t xml:space="preserve">Angel </t>
  </si>
  <si>
    <t xml:space="preserve">Emely </t>
  </si>
  <si>
    <t xml:space="preserve">Emanuel </t>
  </si>
  <si>
    <t xml:space="preserve">Lian </t>
  </si>
  <si>
    <t xml:space="preserve">Yilenis </t>
  </si>
  <si>
    <t xml:space="preserve">Alessia </t>
  </si>
  <si>
    <t xml:space="preserve">Arian </t>
  </si>
  <si>
    <t xml:space="preserve">Adolfo </t>
  </si>
  <si>
    <t xml:space="preserve">Daniel </t>
  </si>
  <si>
    <t xml:space="preserve">Leiah </t>
  </si>
  <si>
    <t xml:space="preserve">Daribet </t>
  </si>
  <si>
    <t>Valentin</t>
  </si>
  <si>
    <t>-</t>
  </si>
  <si>
    <t>Perez</t>
  </si>
  <si>
    <t>Garcia</t>
  </si>
  <si>
    <t>Mojica</t>
  </si>
  <si>
    <t/>
  </si>
  <si>
    <t xml:space="preserve">Alain </t>
  </si>
  <si>
    <t xml:space="preserve">Almanza </t>
  </si>
  <si>
    <t xml:space="preserve">Bailarin </t>
  </si>
  <si>
    <t xml:space="preserve">Brias </t>
  </si>
  <si>
    <t xml:space="preserve">Carvajal </t>
  </si>
  <si>
    <t xml:space="preserve">Cerrud </t>
  </si>
  <si>
    <t xml:space="preserve">Garcés </t>
  </si>
  <si>
    <t xml:space="preserve">Garcia </t>
  </si>
  <si>
    <t xml:space="preserve">Guerrero </t>
  </si>
  <si>
    <t xml:space="preserve">London </t>
  </si>
  <si>
    <t xml:space="preserve">Miranda </t>
  </si>
  <si>
    <t xml:space="preserve">Ojo </t>
  </si>
  <si>
    <t>Pajaro</t>
  </si>
  <si>
    <t xml:space="preserve">Pérez </t>
  </si>
  <si>
    <t xml:space="preserve">Pineda </t>
  </si>
  <si>
    <t xml:space="preserve">Pinto </t>
  </si>
  <si>
    <t xml:space="preserve">Pitty </t>
  </si>
  <si>
    <t xml:space="preserve">Quintero </t>
  </si>
  <si>
    <t xml:space="preserve">Ramos </t>
  </si>
  <si>
    <t xml:space="preserve">Rodríguez </t>
  </si>
  <si>
    <t xml:space="preserve">Tejeira </t>
  </si>
  <si>
    <t xml:space="preserve">Torres </t>
  </si>
  <si>
    <t xml:space="preserve">Valdés </t>
  </si>
  <si>
    <t xml:space="preserve">Villar </t>
  </si>
  <si>
    <t xml:space="preserve">Villarreal </t>
  </si>
  <si>
    <t xml:space="preserve">Adames </t>
  </si>
  <si>
    <t xml:space="preserve">Agrazal </t>
  </si>
  <si>
    <t xml:space="preserve">Alvarez </t>
  </si>
  <si>
    <t xml:space="preserve">Blanco </t>
  </si>
  <si>
    <t xml:space="preserve">Cantillo </t>
  </si>
  <si>
    <t xml:space="preserve">Dominguez </t>
  </si>
  <si>
    <t xml:space="preserve">Duarte </t>
  </si>
  <si>
    <t xml:space="preserve">Gordon </t>
  </si>
  <si>
    <t xml:space="preserve">Greco </t>
  </si>
  <si>
    <t xml:space="preserve">Hernández </t>
  </si>
  <si>
    <t xml:space="preserve">Herrera </t>
  </si>
  <si>
    <t xml:space="preserve">Lana </t>
  </si>
  <si>
    <t xml:space="preserve">Magallón </t>
  </si>
  <si>
    <t xml:space="preserve">Monroy </t>
  </si>
  <si>
    <t xml:space="preserve">Obregón </t>
  </si>
  <si>
    <t xml:space="preserve">Olivardía </t>
  </si>
  <si>
    <t xml:space="preserve">Ortega </t>
  </si>
  <si>
    <t xml:space="preserve">Ovalles </t>
  </si>
  <si>
    <t xml:space="preserve">Pimentel </t>
  </si>
  <si>
    <t xml:space="preserve">Romero </t>
  </si>
  <si>
    <t xml:space="preserve">Sánchez </t>
  </si>
  <si>
    <t xml:space="preserve">Sanjur </t>
  </si>
  <si>
    <t xml:space="preserve">Santos </t>
  </si>
  <si>
    <t>Solorzano</t>
  </si>
  <si>
    <t xml:space="preserve">Tuñon </t>
  </si>
  <si>
    <t xml:space="preserve">Villagra </t>
  </si>
  <si>
    <t>Araúz</t>
  </si>
  <si>
    <t xml:space="preserve">Atencio </t>
  </si>
  <si>
    <t xml:space="preserve">Barrera </t>
  </si>
  <si>
    <t xml:space="preserve">Barria </t>
  </si>
  <si>
    <t xml:space="preserve">Barría </t>
  </si>
  <si>
    <t xml:space="preserve">Bósquez </t>
  </si>
  <si>
    <t xml:space="preserve">Caballero </t>
  </si>
  <si>
    <t xml:space="preserve">Carpintero </t>
  </si>
  <si>
    <t xml:space="preserve">Carpio </t>
  </si>
  <si>
    <t xml:space="preserve">Chen </t>
  </si>
  <si>
    <t xml:space="preserve">Clarke </t>
  </si>
  <si>
    <t>De Leon</t>
  </si>
  <si>
    <t xml:space="preserve">Evans </t>
  </si>
  <si>
    <t xml:space="preserve">Fuentes </t>
  </si>
  <si>
    <t xml:space="preserve">García </t>
  </si>
  <si>
    <t xml:space="preserve">Gonzalez </t>
  </si>
  <si>
    <t xml:space="preserve">González </t>
  </si>
  <si>
    <t xml:space="preserve">Madrid </t>
  </si>
  <si>
    <t xml:space="preserve">Moran </t>
  </si>
  <si>
    <t xml:space="preserve">Moreno </t>
  </si>
  <si>
    <t xml:space="preserve">Nuñez </t>
  </si>
  <si>
    <t xml:space="preserve">Ortiz </t>
  </si>
  <si>
    <t xml:space="preserve">Schloss </t>
  </si>
  <si>
    <t>Valdes</t>
  </si>
  <si>
    <t>8-1102-238</t>
  </si>
  <si>
    <t>8-1093-1558</t>
  </si>
  <si>
    <t>8-1101-921</t>
  </si>
  <si>
    <t>8-1105-645</t>
  </si>
  <si>
    <t>8-1096-1313</t>
  </si>
  <si>
    <t>8-1096-2413</t>
  </si>
  <si>
    <t>8-1103-1555</t>
  </si>
  <si>
    <t>8-1103-1821</t>
  </si>
  <si>
    <t>8-1100-1816</t>
  </si>
  <si>
    <t>8-1102-1463</t>
  </si>
  <si>
    <t>8-1108-937</t>
  </si>
  <si>
    <t>8-1112-884</t>
  </si>
  <si>
    <t>8-1093-1268</t>
  </si>
  <si>
    <t>8-1098-852</t>
  </si>
  <si>
    <t>8-1097-1562</t>
  </si>
  <si>
    <t>AX367327</t>
  </si>
  <si>
    <t>8-1104-1425</t>
  </si>
  <si>
    <t>8-1108-248</t>
  </si>
  <si>
    <t>8-1101-258</t>
  </si>
  <si>
    <t>8-1101-417</t>
  </si>
  <si>
    <t>8-1103-268</t>
  </si>
  <si>
    <t>8-1095-2039</t>
  </si>
  <si>
    <t>8-1096-1204</t>
  </si>
  <si>
    <t>8-1113-1769</t>
  </si>
  <si>
    <t>8-1096-1834</t>
  </si>
  <si>
    <t>8-1095-2434</t>
  </si>
  <si>
    <t>8-1100-2244</t>
  </si>
  <si>
    <t>8-1100-812</t>
  </si>
  <si>
    <t>8-1110-124</t>
  </si>
  <si>
    <t>8-1102-186</t>
  </si>
  <si>
    <t>8-1099-1712</t>
  </si>
  <si>
    <t>8-1108-2435</t>
  </si>
  <si>
    <t>8-1100-1328</t>
  </si>
  <si>
    <t>8-1102-1245</t>
  </si>
  <si>
    <t>6-731-1276</t>
  </si>
  <si>
    <t>8-1102-266</t>
  </si>
  <si>
    <t>8-1095-1300</t>
  </si>
  <si>
    <t>8-1108-827</t>
  </si>
  <si>
    <t>8-1108-511</t>
  </si>
  <si>
    <t>12-735-34</t>
  </si>
  <si>
    <t>088876704</t>
  </si>
  <si>
    <t>8-1101-2367</t>
  </si>
  <si>
    <t>8-1106-2165</t>
  </si>
  <si>
    <t>8-1101-2237</t>
  </si>
  <si>
    <t>8-1099-533</t>
  </si>
  <si>
    <t>8-1103-620</t>
  </si>
  <si>
    <t>8-1100-170</t>
  </si>
  <si>
    <t>8-1101-432</t>
  </si>
  <si>
    <t>8-1103-1948</t>
  </si>
  <si>
    <t>AY365246</t>
  </si>
  <si>
    <t>8-1097-2175</t>
  </si>
  <si>
    <t>8-1108-1134</t>
  </si>
  <si>
    <t>8-1108-381</t>
  </si>
  <si>
    <t>8-1083-519</t>
  </si>
  <si>
    <t>8-1096-1495</t>
  </si>
  <si>
    <t>8-1100-592</t>
  </si>
  <si>
    <t>8-1100-2100</t>
  </si>
  <si>
    <t>BA952906</t>
  </si>
  <si>
    <t>8-1103-835</t>
  </si>
  <si>
    <t>8-1099-198</t>
  </si>
  <si>
    <t>8-1102-559</t>
  </si>
  <si>
    <t>8-1097-360</t>
  </si>
  <si>
    <t>8-1083-148</t>
  </si>
  <si>
    <t>8-1085-2070</t>
  </si>
  <si>
    <t>8-1086-2204</t>
  </si>
  <si>
    <t>8-1093-1272</t>
  </si>
  <si>
    <t>L336614</t>
  </si>
  <si>
    <t>8-1091-324</t>
  </si>
  <si>
    <t>C02642799</t>
  </si>
  <si>
    <t>8-1094-187</t>
  </si>
  <si>
    <t>8-1086-1996</t>
  </si>
  <si>
    <t>9-775-1584</t>
  </si>
  <si>
    <t>8-1092-481</t>
  </si>
  <si>
    <t>8-1095-55</t>
  </si>
  <si>
    <t>8-1086-387</t>
  </si>
  <si>
    <t>8-1087-2077</t>
  </si>
  <si>
    <t>8-1083-418</t>
  </si>
  <si>
    <t>8-1086-704</t>
  </si>
  <si>
    <t>8-1088-1973</t>
  </si>
  <si>
    <t>8-1093-53</t>
  </si>
  <si>
    <t>8-1082-952</t>
  </si>
  <si>
    <t>8-1098-1720</t>
  </si>
  <si>
    <t>8-1069-1791</t>
  </si>
  <si>
    <t>8-1092-1898</t>
  </si>
  <si>
    <t>8-1093-2149</t>
  </si>
  <si>
    <t>BE867492</t>
  </si>
  <si>
    <t>8-1092-917</t>
  </si>
  <si>
    <t>8-1089-269</t>
  </si>
  <si>
    <t>E-8-228328</t>
  </si>
  <si>
    <t>8-1086-1685</t>
  </si>
  <si>
    <t>8-1089-1583</t>
  </si>
  <si>
    <t>8-1087-830</t>
  </si>
  <si>
    <t>8-1090-1469</t>
  </si>
  <si>
    <t>8-1091-1361</t>
  </si>
  <si>
    <t>8-1086-1001</t>
  </si>
  <si>
    <t>8-1097-2157</t>
  </si>
  <si>
    <t>8-1091-618</t>
  </si>
  <si>
    <t>8-1087-969</t>
  </si>
  <si>
    <t>8-1090-1142</t>
  </si>
  <si>
    <t>8-1086-1583</t>
  </si>
  <si>
    <t>3-766-69</t>
  </si>
  <si>
    <t>8-1085-1840</t>
  </si>
  <si>
    <t>8-1094-1266</t>
  </si>
  <si>
    <t>8-1084-8</t>
  </si>
  <si>
    <t>8-1083-1850</t>
  </si>
  <si>
    <t>8-1092-270</t>
  </si>
  <si>
    <t>8-1086-1601</t>
  </si>
  <si>
    <t>8-1091-2385</t>
  </si>
  <si>
    <t>8-1091-2388</t>
  </si>
  <si>
    <t>8-1084-1450</t>
  </si>
  <si>
    <t>8-1072-1575</t>
  </si>
  <si>
    <t>8-1088-1162</t>
  </si>
  <si>
    <t>8-1085-588</t>
  </si>
  <si>
    <t>8-1088-848</t>
  </si>
  <si>
    <t>8-1083-1813</t>
  </si>
  <si>
    <t>8-1089-1849</t>
  </si>
  <si>
    <t>8-1089-815</t>
  </si>
  <si>
    <t>8-1083-1268</t>
  </si>
  <si>
    <t>8-1090-2134</t>
  </si>
  <si>
    <t>E-8-231751</t>
  </si>
  <si>
    <t>8-1076-1661</t>
  </si>
  <si>
    <t>8-1075-807</t>
  </si>
  <si>
    <t>8-1076-1185</t>
  </si>
  <si>
    <t>8-1080-2115</t>
  </si>
  <si>
    <t>8-1076-2119</t>
  </si>
  <si>
    <t>8-1080-747</t>
  </si>
  <si>
    <t>8-1080-1146</t>
  </si>
  <si>
    <t>8-1075-940</t>
  </si>
  <si>
    <t> 178937144</t>
  </si>
  <si>
    <t>1-768-177</t>
  </si>
  <si>
    <t>8-1075-2276</t>
  </si>
  <si>
    <t> 8-1083-1946</t>
  </si>
  <si>
    <t>8-1080-561</t>
  </si>
  <si>
    <t>8-1076-1640</t>
  </si>
  <si>
    <t>8-1081-1103</t>
  </si>
  <si>
    <t>8-1080-2025</t>
  </si>
  <si>
    <t>8-1076-1249</t>
  </si>
  <si>
    <t>8-1071-922</t>
  </si>
  <si>
    <t>8-1069-1402</t>
  </si>
  <si>
    <t>8-1075-218</t>
  </si>
  <si>
    <t>8-1066-772</t>
  </si>
  <si>
    <t>8-1078-2198</t>
  </si>
  <si>
    <t>8-1074-1415</t>
  </si>
  <si>
    <t>8-1072-2457</t>
  </si>
  <si>
    <t>065090961</t>
  </si>
  <si>
    <t>8-1082-1848</t>
  </si>
  <si>
    <t>8-1063-2181</t>
  </si>
  <si>
    <t>8-1071-546</t>
  </si>
  <si>
    <t>8-1077-732</t>
  </si>
  <si>
    <t>8-1067-1249</t>
  </si>
  <si>
    <t>8-1086-2141</t>
  </si>
  <si>
    <t>8-1076-937</t>
  </si>
  <si>
    <t>4-848-11</t>
  </si>
  <si>
    <t>8-1073-1023</t>
  </si>
  <si>
    <t>8-1068-245</t>
  </si>
  <si>
    <t>8-1068-2398</t>
  </si>
  <si>
    <t>8-1087-391</t>
  </si>
  <si>
    <t>8-1076-176</t>
  </si>
  <si>
    <t>8-1075-1635</t>
  </si>
  <si>
    <t>8-1066-1630</t>
  </si>
  <si>
    <t>8-1080-980</t>
  </si>
  <si>
    <t>8-1077-1824</t>
  </si>
  <si>
    <t>8-1077-1853</t>
  </si>
  <si>
    <t> 8-1082-21</t>
  </si>
  <si>
    <t>8-1069-2280</t>
  </si>
  <si>
    <t>8-1081-1393</t>
  </si>
  <si>
    <t>8-1085-1112</t>
  </si>
  <si>
    <t>8-1076-716</t>
  </si>
  <si>
    <t>8-1072-1037</t>
  </si>
  <si>
    <t>8-1073-920</t>
  </si>
  <si>
    <t>8-1067-2361</t>
  </si>
  <si>
    <t>8-1086-2384</t>
  </si>
  <si>
    <t>PROM 2028</t>
  </si>
  <si>
    <t>PROM 2027</t>
  </si>
  <si>
    <t>PROM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</si>
</sst>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5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9C0006"/>
      <name val="Arial"/>
      <family val="2"/>
    </font>
    <font>
      <sz val="11"/>
      <color rgb="FF9C0006"/>
      <name val="Calibri"/>
      <family val="2"/>
    </font>
    <font>
      <sz val="12"/>
      <color rgb="FF9C0006"/>
      <name val="Arial"/>
      <family val="2"/>
    </font>
    <font>
      <sz val="12"/>
      <name val="Arial"/>
      <family val="2"/>
    </font>
    <font>
      <sz val="12"/>
      <color rgb="FF000000"/>
      <name val="Arial"/>
      <family val="2"/>
      <charset val="1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000000"/>
      </patternFill>
    </fill>
    <fill>
      <patternFill patternType="solid">
        <fgColor rgb="FFFFC7CE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4CCCC"/>
      </patternFill>
    </fill>
    <fill>
      <patternFill patternType="solid">
        <fgColor rgb="FFFFC7CE"/>
        <bgColor rgb="FFF4CCCC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rgb="FF000000"/>
      </patternFill>
    </fill>
  </fills>
  <borders count="4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2" borderId="5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16" fontId="3" fillId="2" borderId="13" xfId="0" applyNumberFormat="1" applyFont="1" applyFill="1" applyBorder="1" applyAlignment="1">
      <alignment horizontal="center" vertical="center"/>
    </xf>
    <xf numFmtId="16" fontId="3" fillId="2" borderId="14" xfId="0" applyNumberFormat="1" applyFont="1" applyFill="1" applyBorder="1" applyAlignment="1">
      <alignment horizontal="center"/>
    </xf>
    <xf numFmtId="16" fontId="3" fillId="2" borderId="15" xfId="0" applyNumberFormat="1" applyFont="1" applyFill="1" applyBorder="1" applyAlignment="1">
      <alignment horizontal="center"/>
    </xf>
    <xf numFmtId="16" fontId="3" fillId="2" borderId="16" xfId="0" applyNumberFormat="1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2" fillId="0" borderId="2" xfId="0" applyFont="1" applyBorder="1"/>
    <xf numFmtId="0" fontId="5" fillId="0" borderId="2" xfId="0" applyFont="1" applyBorder="1"/>
    <xf numFmtId="0" fontId="6" fillId="3" borderId="2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7" fillId="0" borderId="2" xfId="0" applyFont="1" applyBorder="1"/>
    <xf numFmtId="0" fontId="6" fillId="3" borderId="6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9" fillId="5" borderId="19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4" xfId="0" applyFont="1" applyBorder="1"/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5" fillId="0" borderId="13" xfId="0" applyFont="1" applyBorder="1"/>
    <xf numFmtId="0" fontId="7" fillId="0" borderId="8" xfId="0" applyFont="1" applyBorder="1"/>
    <xf numFmtId="0" fontId="6" fillId="0" borderId="2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6" xfId="0" applyFont="1" applyBorder="1"/>
    <xf numFmtId="0" fontId="9" fillId="5" borderId="20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/>
    </xf>
    <xf numFmtId="0" fontId="7" fillId="0" borderId="25" xfId="0" applyFont="1" applyBorder="1"/>
    <xf numFmtId="0" fontId="3" fillId="2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0" fillId="7" borderId="27" xfId="0" applyFont="1" applyFill="1" applyBorder="1"/>
    <xf numFmtId="0" fontId="3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31" xfId="0" applyFont="1" applyFill="1" applyBorder="1" applyAlignment="1">
      <alignment horizontal="center"/>
    </xf>
    <xf numFmtId="0" fontId="5" fillId="0" borderId="6" xfId="0" applyFont="1" applyBorder="1"/>
    <xf numFmtId="0" fontId="1" fillId="0" borderId="2" xfId="0" applyFont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3" borderId="32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/>
    </xf>
    <xf numFmtId="0" fontId="8" fillId="5" borderId="32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0" fontId="2" fillId="0" borderId="6" xfId="0" applyFont="1" applyBorder="1"/>
    <xf numFmtId="0" fontId="5" fillId="0" borderId="25" xfId="0" applyFont="1" applyBorder="1"/>
    <xf numFmtId="0" fontId="9" fillId="5" borderId="33" xfId="0" applyFont="1" applyFill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0" fillId="5" borderId="25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/>
    </xf>
    <xf numFmtId="0" fontId="8" fillId="6" borderId="33" xfId="0" applyFont="1" applyFill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7" borderId="28" xfId="0" applyFont="1" applyFill="1" applyBorder="1" applyAlignment="1">
      <alignment horizontal="center"/>
    </xf>
    <xf numFmtId="16" fontId="3" fillId="2" borderId="13" xfId="0" applyNumberFormat="1" applyFont="1" applyFill="1" applyBorder="1" applyAlignment="1">
      <alignment vertical="center"/>
    </xf>
    <xf numFmtId="0" fontId="4" fillId="2" borderId="37" xfId="0" applyFont="1" applyFill="1" applyBorder="1" applyAlignment="1">
      <alignment horizontal="center"/>
    </xf>
    <xf numFmtId="0" fontId="1" fillId="0" borderId="19" xfId="0" applyFont="1" applyBorder="1"/>
    <xf numFmtId="0" fontId="1" fillId="0" borderId="38" xfId="0" applyFont="1" applyBorder="1"/>
    <xf numFmtId="0" fontId="6" fillId="3" borderId="23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1" fillId="0" borderId="21" xfId="0" applyFont="1" applyBorder="1"/>
    <xf numFmtId="0" fontId="1" fillId="0" borderId="0" xfId="0" applyFont="1"/>
    <xf numFmtId="0" fontId="1" fillId="0" borderId="6" xfId="0" applyFont="1" applyBorder="1"/>
    <xf numFmtId="0" fontId="8" fillId="6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5" borderId="36" xfId="0" applyFont="1" applyFill="1" applyBorder="1" applyAlignment="1">
      <alignment horizontal="center" vertical="center"/>
    </xf>
    <xf numFmtId="0" fontId="1" fillId="0" borderId="20" xfId="0" applyFont="1" applyBorder="1"/>
    <xf numFmtId="0" fontId="1" fillId="0" borderId="35" xfId="0" applyFont="1" applyBorder="1"/>
    <xf numFmtId="0" fontId="9" fillId="5" borderId="19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0" borderId="39" xfId="0" applyFont="1" applyBorder="1"/>
    <xf numFmtId="0" fontId="1" fillId="0" borderId="4" xfId="0" applyFont="1" applyBorder="1"/>
    <xf numFmtId="0" fontId="1" fillId="3" borderId="13" xfId="0" applyFont="1" applyFill="1" applyBorder="1"/>
    <xf numFmtId="0" fontId="0" fillId="11" borderId="0" xfId="0" applyFill="1"/>
    <xf numFmtId="0" fontId="11" fillId="0" borderId="2" xfId="0" applyFont="1" applyBorder="1"/>
    <xf numFmtId="0" fontId="11" fillId="0" borderId="4" xfId="0" applyFont="1" applyBorder="1"/>
    <xf numFmtId="0" fontId="11" fillId="0" borderId="6" xfId="0" applyFont="1" applyBorder="1"/>
    <xf numFmtId="0" fontId="1" fillId="0" borderId="20" xfId="0" applyFont="1" applyBorder="1" applyAlignment="1">
      <alignment horizontal="center"/>
    </xf>
    <xf numFmtId="0" fontId="12" fillId="0" borderId="2" xfId="0" applyFont="1" applyBorder="1"/>
    <xf numFmtId="8" fontId="1" fillId="0" borderId="32" xfId="0" applyNumberFormat="1" applyFont="1" applyBorder="1" applyAlignment="1">
      <alignment horizontal="center"/>
    </xf>
    <xf numFmtId="8" fontId="1" fillId="0" borderId="20" xfId="0" applyNumberFormat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12" borderId="20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/>
    </xf>
    <xf numFmtId="0" fontId="12" fillId="0" borderId="4" xfId="0" applyFont="1" applyBorder="1"/>
    <xf numFmtId="0" fontId="12" fillId="0" borderId="13" xfId="0" applyFont="1" applyBorder="1"/>
    <xf numFmtId="0" fontId="12" fillId="0" borderId="20" xfId="0" applyFont="1" applyBorder="1"/>
    <xf numFmtId="0" fontId="12" fillId="0" borderId="25" xfId="0" applyFont="1" applyBorder="1"/>
    <xf numFmtId="0" fontId="13" fillId="0" borderId="6" xfId="0" applyFont="1" applyBorder="1"/>
    <xf numFmtId="0" fontId="11" fillId="0" borderId="25" xfId="0" applyFont="1" applyBorder="1"/>
    <xf numFmtId="0" fontId="11" fillId="0" borderId="20" xfId="0" applyFont="1" applyBorder="1"/>
    <xf numFmtId="0" fontId="1" fillId="11" borderId="20" xfId="0" applyFont="1" applyFill="1" applyBorder="1"/>
    <xf numFmtId="8" fontId="1" fillId="11" borderId="20" xfId="0" applyNumberFormat="1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0" borderId="7" xfId="0" applyFont="1" applyBorder="1"/>
    <xf numFmtId="0" fontId="1" fillId="0" borderId="9" xfId="0" applyFont="1" applyBorder="1"/>
    <xf numFmtId="0" fontId="1" fillId="0" borderId="24" xfId="0" applyFont="1" applyBorder="1"/>
    <xf numFmtId="0" fontId="1" fillId="0" borderId="26" xfId="0" applyFont="1" applyBorder="1"/>
    <xf numFmtId="0" fontId="1" fillId="0" borderId="23" xfId="0" applyFont="1" applyBorder="1"/>
    <xf numFmtId="0" fontId="1" fillId="3" borderId="23" xfId="0" applyFont="1" applyFill="1" applyBorder="1"/>
    <xf numFmtId="0" fontId="0" fillId="0" borderId="0" xfId="0" applyFill="1"/>
    <xf numFmtId="2" fontId="0" fillId="0" borderId="0" xfId="0" applyNumberFormat="1"/>
    <xf numFmtId="2" fontId="0" fillId="0" borderId="0" xfId="0" applyNumberFormat="1" applyFill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1" formatCode="d\-mmm"/>
      <fill>
        <patternFill patternType="solid">
          <fgColor rgb="FF000000"/>
          <bgColor rgb="FFB4C6E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11880-A302-4DFF-9297-B428D01F652C}" name="Table1" displayName="Table1" ref="B1:BE63" totalsRowShown="0" headerRowDxfId="56" dataDxfId="55">
  <autoFilter ref="B1:BE63" xr:uid="{36611880-A302-4DFF-9297-B428D01F652C}"/>
  <sortState xmlns:xlrd2="http://schemas.microsoft.com/office/spreadsheetml/2017/richdata2" ref="B2:BE63">
    <sortCondition ref="D2:D63"/>
    <sortCondition ref="C2:C63"/>
    <sortCondition ref="B2:B63"/>
  </sortState>
  <tableColumns count="56">
    <tableColumn id="2" xr3:uid="{FC6B9AD2-3333-4A8F-A4BB-C38E4D239698}" name="Column2" dataDxfId="54"/>
    <tableColumn id="3" xr3:uid="{9293D5ED-63EC-4208-B2B5-AC594F7F9D9E}" name="Column3" dataDxfId="53"/>
    <tableColumn id="4" xr3:uid="{CB1877D1-871A-4A2A-90F9-46FCC8B637BA}" name="Column4" dataDxfId="52"/>
    <tableColumn id="5" xr3:uid="{B0453954-D770-4606-8F52-28A5199B2A44}" name="2-Mar" dataDxfId="51"/>
    <tableColumn id="6" xr3:uid="{6CF7537A-AFCC-4C17-A0B6-E5267EFD4F90}" name="3-Mar" dataDxfId="50"/>
    <tableColumn id="7" xr3:uid="{4C483143-70B1-48B9-98EC-5E9F7F22FA61}" name="4-Mar" dataDxfId="49"/>
    <tableColumn id="8" xr3:uid="{91A155B9-7EC1-45E5-BB50-5CA9FB88CA2C}" name="5-Mar" dataDxfId="48"/>
    <tableColumn id="9" xr3:uid="{F33CD12B-40F8-4FAD-808F-CAE6E2D3E448}" name="6-Mar" dataDxfId="47"/>
    <tableColumn id="10" xr3:uid="{EEACF6AF-BE13-416B-BE2E-E8441C0C40E6}" name="9-Mar" dataDxfId="46"/>
    <tableColumn id="11" xr3:uid="{F6C50577-2C50-4A96-96E4-1017518D0AD9}" name="10-Mar" dataDxfId="45"/>
    <tableColumn id="12" xr3:uid="{E459F828-3B2D-4687-9E92-05863F341132}" name="11-Mar" dataDxfId="44"/>
    <tableColumn id="13" xr3:uid="{9FBE67B5-57D5-4D98-8D77-7E9E05CF06B1}" name="12-Mar" dataDxfId="43"/>
    <tableColumn id="14" xr3:uid="{2DF28BDA-A6B2-422D-8480-8E84085B40B9}" name="13-Mar" dataDxfId="42"/>
    <tableColumn id="15" xr3:uid="{6D07B86B-9DF3-438E-B97C-923285F5D73A}" name="16-Mar" dataDxfId="41"/>
    <tableColumn id="16" xr3:uid="{DAFE4B87-13B6-45ED-9064-09A4D43ACCAE}" name="17-Mar" dataDxfId="40"/>
    <tableColumn id="17" xr3:uid="{5F2FBD1A-042B-4A97-8366-9550138A0A0E}" name="18-Mar" dataDxfId="39"/>
    <tableColumn id="18" xr3:uid="{DAC010F4-6F86-4AEE-9289-D21694684BC2}" name="19-Mar" dataDxfId="38"/>
    <tableColumn id="19" xr3:uid="{CD4FE684-FA9D-4D5F-8B2E-BBBCCF2B12DB}" name="20-Mar" dataDxfId="37"/>
    <tableColumn id="20" xr3:uid="{EC6E79B3-5478-434F-949F-DBCFF9EF0F8D}" name="23-Mar" dataDxfId="36"/>
    <tableColumn id="21" xr3:uid="{E0F89A93-F9A0-4D50-A32A-B43B18506744}" name="24-Mar" dataDxfId="35"/>
    <tableColumn id="22" xr3:uid="{E775708A-D147-4C0E-85AC-7F0A565C55ED}" name="25-Mar" dataDxfId="34"/>
    <tableColumn id="23" xr3:uid="{6EC14E8F-BEB9-4A3D-9C1B-A0E0CE362016}" name="26-Mar" dataDxfId="33"/>
    <tableColumn id="24" xr3:uid="{1676664D-EBE4-4A06-8241-ABF55AD75202}" name="30-Mar" dataDxfId="32"/>
    <tableColumn id="25" xr3:uid="{74EE6AF7-8124-40B6-A4A2-F262FA1DBF7E}" name="31-Mar" dataDxfId="31"/>
    <tableColumn id="26" xr3:uid="{CCADF130-C155-405F-B1F7-968FFF2621E1}" name="1-Apr" dataDxfId="30"/>
    <tableColumn id="27" xr3:uid="{74DD4045-2763-4236-96CE-5B2A1AD86BF4}" name="6-Apr" dataDxfId="29"/>
    <tableColumn id="28" xr3:uid="{DFFE4F97-FAF6-4D18-9CA2-4F0D0119D8C1}" name="7-Apr" dataDxfId="28"/>
    <tableColumn id="29" xr3:uid="{B644A2A7-1787-4270-B942-444A92EA9B5D}" name="8-Apr" dataDxfId="27"/>
    <tableColumn id="30" xr3:uid="{41F26D67-9443-4554-902E-037850E3E359}" name="9-Apr" dataDxfId="26"/>
    <tableColumn id="31" xr3:uid="{C51EA2DB-8177-4DCE-A6D2-C06FC85728B3}" name="10-Apr" dataDxfId="25"/>
    <tableColumn id="32" xr3:uid="{AF4FCE30-4A03-4E0F-99C5-FC2C4D035178}" name="13-Apr" dataDxfId="24"/>
    <tableColumn id="33" xr3:uid="{B12FD3FA-40C3-43C2-AEFA-CFB8E3DD8D25}" name="14-Apr" dataDxfId="23"/>
    <tableColumn id="34" xr3:uid="{5356DC57-17C1-4CCF-98A7-7348D3D88BBB}" name="15-Apr" dataDxfId="22"/>
    <tableColumn id="35" xr3:uid="{BA319F24-B6EC-4011-B4F8-BF87C890C196}" name="16-Apr" dataDxfId="21"/>
    <tableColumn id="36" xr3:uid="{B8C6560B-DEB5-40A5-AD93-11FE558F3405}" name="17-Apr" dataDxfId="20"/>
    <tableColumn id="37" xr3:uid="{F53CCEA9-AAC8-4DB6-AF9E-0ECB1E6A3FA4}" name="20-Apr" dataDxfId="19"/>
    <tableColumn id="38" xr3:uid="{3A02AE29-4EE1-4857-BEFA-F7229C617751}" name="21-Apr" dataDxfId="18"/>
    <tableColumn id="39" xr3:uid="{9DC306B9-05D3-4493-87E4-111F4101EEA6}" name="22-Apr" dataDxfId="17"/>
    <tableColumn id="40" xr3:uid="{F4F77986-26FB-49F0-9120-C424C96C0C71}" name="23-Apr" dataDxfId="16"/>
    <tableColumn id="41" xr3:uid="{6874CAB8-B287-4A04-9E07-EF013620A9BB}" name="24-Apr" dataDxfId="15"/>
    <tableColumn id="42" xr3:uid="{C1BADBE0-D24C-4DE2-B143-8747D0FD140C}" name="27-Apr" dataDxfId="14"/>
    <tableColumn id="43" xr3:uid="{8377B3BA-1502-45E2-8F80-564AE96D5002}" name="28-Apr" dataDxfId="13"/>
    <tableColumn id="44" xr3:uid="{28C026EB-13FD-4F2C-851B-AC2E4AC76EDF}" name="29-Apr" dataDxfId="12"/>
    <tableColumn id="45" xr3:uid="{20708384-AA33-427A-8A03-BE1B8E9942BF}" name="30-Apr" dataDxfId="11"/>
    <tableColumn id="46" xr3:uid="{4B6EB84C-C50F-4810-BC81-B0CC5ADCAC70}" name="4-May" dataDxfId="10"/>
    <tableColumn id="47" xr3:uid="{E08662C0-F8AA-4185-8020-9E39ADEEBDC8}" name="5-May" dataDxfId="9"/>
    <tableColumn id="48" xr3:uid="{453C0497-BC1D-474F-B630-EDCB0183EF2C}" name="6-May" dataDxfId="8"/>
    <tableColumn id="49" xr3:uid="{0CBBBD8D-1AAF-4A4C-A97C-FA2B8078D580}" name="7-May" dataDxfId="7"/>
    <tableColumn id="50" xr3:uid="{21A674DB-313D-42A6-A6F2-16EA12D1F32A}" name="8-May" dataDxfId="6"/>
    <tableColumn id="51" xr3:uid="{9FD8E0C9-B27D-42E1-86E5-F2775F1C78BB}" name="11-May" dataDxfId="5"/>
    <tableColumn id="52" xr3:uid="{5A581311-1BE7-4FED-89D3-05B6D6945A81}" name="12-May" dataDxfId="4"/>
    <tableColumn id="53" xr3:uid="{8B68643C-001E-41DE-9C24-3FFF8882678F}" name="13-May" dataDxfId="3"/>
    <tableColumn id="54" xr3:uid="{C8B6723E-D5D7-454D-A7D3-B6E160D4963C}" name="14-May" dataDxfId="2"/>
    <tableColumn id="55" xr3:uid="{49C2BAE9-79AD-4D00-8192-CFA248235A66}" name="15-May" dataDxfId="1"/>
    <tableColumn id="56" xr3:uid="{328E7588-F2DE-4BC7-A4CA-669BCE98EFC0}" name="Ausencias">
      <calculatedColumnFormula>COUNTIF(D2:BC2,"A")</calculatedColumnFormula>
    </tableColumn>
    <tableColumn id="57" xr3:uid="{D5718128-ADEF-41E4-9A71-CB6DA527B00A}" name="Tardanzas" dataDxfId="0">
      <calculatedColumnFormula>COUNTIF(D2:BC2,"T")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B6F6-6751-40C4-B6EA-E18034B436A3}">
  <dimension ref="A1:K177"/>
  <sheetViews>
    <sheetView tabSelected="1" topLeftCell="D1" workbookViewId="0">
      <selection activeCell="H10" sqref="H10"/>
    </sheetView>
  </sheetViews>
  <sheetFormatPr defaultRowHeight="14.5" x14ac:dyDescent="0.35"/>
  <cols>
    <col min="1" max="1" width="11.08984375" bestFit="1" customWidth="1"/>
    <col min="2" max="2" width="10.1796875" bestFit="1" customWidth="1"/>
    <col min="3" max="3" width="10.36328125" bestFit="1" customWidth="1"/>
    <col min="4" max="4" width="6.08984375" bestFit="1" customWidth="1"/>
    <col min="5" max="5" width="15.453125" bestFit="1" customWidth="1"/>
    <col min="6" max="6" width="8.54296875" customWidth="1"/>
    <col min="7" max="7" width="13.7265625" customWidth="1"/>
    <col min="8" max="8" width="10.36328125" customWidth="1"/>
    <col min="9" max="9" width="11.81640625" customWidth="1"/>
    <col min="10" max="10" width="10.6328125" customWidth="1"/>
    <col min="11" max="11" width="7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502</v>
      </c>
      <c r="B2" t="s">
        <v>11</v>
      </c>
      <c r="C2" t="s">
        <v>12</v>
      </c>
      <c r="D2" t="s">
        <v>13</v>
      </c>
      <c r="E2" t="s">
        <v>674</v>
      </c>
      <c r="F2" s="154">
        <v>3.75</v>
      </c>
      <c r="H2" s="154">
        <v>5</v>
      </c>
      <c r="I2">
        <v>2</v>
      </c>
      <c r="J2">
        <v>1</v>
      </c>
      <c r="K2" t="s">
        <v>426</v>
      </c>
    </row>
    <row r="3" spans="1:11" x14ac:dyDescent="0.35">
      <c r="A3" t="s">
        <v>503</v>
      </c>
      <c r="B3" t="s">
        <v>14</v>
      </c>
      <c r="C3" t="s">
        <v>15</v>
      </c>
      <c r="D3" t="s">
        <v>13</v>
      </c>
      <c r="E3" t="s">
        <v>674</v>
      </c>
      <c r="F3" s="154">
        <v>4.2249999999999996</v>
      </c>
      <c r="H3" s="154">
        <v>4.8860000000000001</v>
      </c>
      <c r="I3">
        <v>4</v>
      </c>
      <c r="J3">
        <v>5</v>
      </c>
      <c r="K3" t="s">
        <v>426</v>
      </c>
    </row>
    <row r="4" spans="1:11" x14ac:dyDescent="0.35">
      <c r="A4" t="s">
        <v>504</v>
      </c>
      <c r="B4" t="s">
        <v>16</v>
      </c>
      <c r="C4" t="s">
        <v>17</v>
      </c>
      <c r="D4" t="s">
        <v>13</v>
      </c>
      <c r="E4" t="s">
        <v>674</v>
      </c>
      <c r="F4" s="154">
        <v>3.875</v>
      </c>
      <c r="H4" s="154">
        <v>4.0360000000000005</v>
      </c>
      <c r="I4">
        <v>4</v>
      </c>
      <c r="J4">
        <v>5</v>
      </c>
      <c r="K4" t="s">
        <v>426</v>
      </c>
    </row>
    <row r="5" spans="1:11" x14ac:dyDescent="0.35">
      <c r="A5" t="s">
        <v>505</v>
      </c>
      <c r="B5" t="s">
        <v>18</v>
      </c>
      <c r="C5" t="s">
        <v>19</v>
      </c>
      <c r="D5" t="s">
        <v>13</v>
      </c>
      <c r="E5" t="s">
        <v>674</v>
      </c>
      <c r="F5" s="154">
        <v>4.625</v>
      </c>
      <c r="H5" s="154">
        <v>5</v>
      </c>
      <c r="I5">
        <v>1</v>
      </c>
      <c r="J5">
        <v>1</v>
      </c>
      <c r="K5">
        <v>20</v>
      </c>
    </row>
    <row r="6" spans="1:11" x14ac:dyDescent="0.35">
      <c r="A6" t="s">
        <v>506</v>
      </c>
      <c r="B6" t="s">
        <v>20</v>
      </c>
      <c r="C6" t="s">
        <v>21</v>
      </c>
      <c r="D6" t="s">
        <v>13</v>
      </c>
      <c r="E6" t="s">
        <v>674</v>
      </c>
      <c r="F6" s="154">
        <v>3.5</v>
      </c>
      <c r="H6" s="154">
        <v>5</v>
      </c>
      <c r="I6">
        <v>0</v>
      </c>
      <c r="J6">
        <v>0</v>
      </c>
      <c r="K6">
        <v>20</v>
      </c>
    </row>
    <row r="7" spans="1:11" x14ac:dyDescent="0.35">
      <c r="A7" t="s">
        <v>507</v>
      </c>
      <c r="B7" t="s">
        <v>22</v>
      </c>
      <c r="C7" t="s">
        <v>23</v>
      </c>
      <c r="D7" t="s">
        <v>13</v>
      </c>
      <c r="E7" t="s">
        <v>674</v>
      </c>
      <c r="F7" s="154">
        <v>3.8499999999999996</v>
      </c>
      <c r="H7" s="154">
        <v>5</v>
      </c>
      <c r="I7">
        <v>0</v>
      </c>
      <c r="J7">
        <v>0</v>
      </c>
      <c r="K7" t="s">
        <v>426</v>
      </c>
    </row>
    <row r="8" spans="1:11" x14ac:dyDescent="0.35">
      <c r="A8" t="s">
        <v>508</v>
      </c>
      <c r="B8" t="s">
        <v>24</v>
      </c>
      <c r="C8" t="s">
        <v>25</v>
      </c>
      <c r="D8" t="s">
        <v>13</v>
      </c>
      <c r="E8" t="s">
        <v>674</v>
      </c>
      <c r="F8" s="154">
        <v>3.5</v>
      </c>
      <c r="H8" s="154">
        <v>4.97</v>
      </c>
      <c r="I8">
        <v>0</v>
      </c>
      <c r="J8">
        <v>1</v>
      </c>
      <c r="K8">
        <v>20</v>
      </c>
    </row>
    <row r="9" spans="1:11" x14ac:dyDescent="0.35">
      <c r="A9" t="s">
        <v>509</v>
      </c>
      <c r="B9" t="s">
        <v>26</v>
      </c>
      <c r="C9" t="s">
        <v>27</v>
      </c>
      <c r="D9" t="s">
        <v>13</v>
      </c>
      <c r="E9" t="s">
        <v>674</v>
      </c>
      <c r="F9" s="154">
        <v>4.125</v>
      </c>
      <c r="H9" s="154">
        <v>5</v>
      </c>
      <c r="I9">
        <v>1</v>
      </c>
      <c r="J9">
        <v>0</v>
      </c>
      <c r="K9" t="s">
        <v>426</v>
      </c>
    </row>
    <row r="10" spans="1:11" x14ac:dyDescent="0.35">
      <c r="A10" t="s">
        <v>510</v>
      </c>
      <c r="B10" t="s">
        <v>28</v>
      </c>
      <c r="C10" t="s">
        <v>29</v>
      </c>
      <c r="D10" t="s">
        <v>13</v>
      </c>
      <c r="E10" t="s">
        <v>674</v>
      </c>
      <c r="F10" s="154">
        <v>4.05</v>
      </c>
      <c r="H10" s="154">
        <v>5</v>
      </c>
      <c r="I10">
        <v>0</v>
      </c>
      <c r="J10">
        <v>2</v>
      </c>
      <c r="K10" t="s">
        <v>426</v>
      </c>
    </row>
    <row r="11" spans="1:11" x14ac:dyDescent="0.35">
      <c r="A11" t="s">
        <v>511</v>
      </c>
      <c r="B11" t="s">
        <v>30</v>
      </c>
      <c r="C11" t="s">
        <v>31</v>
      </c>
      <c r="D11" t="s">
        <v>13</v>
      </c>
      <c r="E11" t="s">
        <v>674</v>
      </c>
      <c r="F11" s="154">
        <v>4.3250000000000002</v>
      </c>
      <c r="H11" s="154">
        <v>5</v>
      </c>
      <c r="I11">
        <v>0</v>
      </c>
      <c r="J11">
        <v>0</v>
      </c>
      <c r="K11" t="s">
        <v>426</v>
      </c>
    </row>
    <row r="12" spans="1:11" x14ac:dyDescent="0.35">
      <c r="A12" t="s">
        <v>512</v>
      </c>
      <c r="B12" t="s">
        <v>32</v>
      </c>
      <c r="C12" t="s">
        <v>33</v>
      </c>
      <c r="D12" t="s">
        <v>13</v>
      </c>
      <c r="E12" t="s">
        <v>674</v>
      </c>
      <c r="F12" s="154">
        <v>4.3</v>
      </c>
      <c r="H12" s="154">
        <v>4.79</v>
      </c>
      <c r="I12">
        <v>6</v>
      </c>
      <c r="J12">
        <v>7</v>
      </c>
      <c r="K12" t="s">
        <v>426</v>
      </c>
    </row>
    <row r="13" spans="1:11" x14ac:dyDescent="0.35">
      <c r="A13" t="s">
        <v>513</v>
      </c>
      <c r="B13" t="s">
        <v>34</v>
      </c>
      <c r="C13" t="s">
        <v>35</v>
      </c>
      <c r="D13" t="s">
        <v>13</v>
      </c>
      <c r="E13" t="s">
        <v>674</v>
      </c>
      <c r="F13" s="154">
        <v>4.4750000000000005</v>
      </c>
      <c r="H13" s="154">
        <v>5</v>
      </c>
      <c r="I13">
        <v>0</v>
      </c>
      <c r="J13">
        <v>0</v>
      </c>
      <c r="K13">
        <v>20</v>
      </c>
    </row>
    <row r="14" spans="1:11" x14ac:dyDescent="0.35">
      <c r="A14" t="s">
        <v>514</v>
      </c>
      <c r="B14" t="s">
        <v>36</v>
      </c>
      <c r="C14" t="s">
        <v>37</v>
      </c>
      <c r="D14" t="s">
        <v>13</v>
      </c>
      <c r="E14" t="s">
        <v>674</v>
      </c>
      <c r="F14" s="154">
        <v>4.1749999999999998</v>
      </c>
      <c r="H14" s="154">
        <v>5</v>
      </c>
      <c r="I14">
        <v>0</v>
      </c>
      <c r="J14">
        <v>0</v>
      </c>
      <c r="K14" t="s">
        <v>426</v>
      </c>
    </row>
    <row r="15" spans="1:11" x14ac:dyDescent="0.35">
      <c r="A15" t="s">
        <v>515</v>
      </c>
      <c r="B15" t="s">
        <v>38</v>
      </c>
      <c r="C15" t="s">
        <v>39</v>
      </c>
      <c r="D15" t="s">
        <v>13</v>
      </c>
      <c r="E15" t="s">
        <v>674</v>
      </c>
      <c r="F15" s="154">
        <v>3.6749999999999998</v>
      </c>
      <c r="H15" s="154">
        <v>4.8860000000000001</v>
      </c>
      <c r="I15">
        <v>3</v>
      </c>
      <c r="J15">
        <v>6</v>
      </c>
      <c r="K15">
        <v>20</v>
      </c>
    </row>
    <row r="16" spans="1:11" x14ac:dyDescent="0.35">
      <c r="A16" t="s">
        <v>516</v>
      </c>
      <c r="B16" t="s">
        <v>40</v>
      </c>
      <c r="C16" t="s">
        <v>41</v>
      </c>
      <c r="D16" t="s">
        <v>13</v>
      </c>
      <c r="E16" t="s">
        <v>674</v>
      </c>
      <c r="F16" s="154">
        <v>4.1999999999999993</v>
      </c>
      <c r="H16" s="154">
        <v>4.91</v>
      </c>
      <c r="I16">
        <v>5</v>
      </c>
      <c r="J16">
        <v>1</v>
      </c>
      <c r="K16">
        <v>20</v>
      </c>
    </row>
    <row r="17" spans="1:11" x14ac:dyDescent="0.35">
      <c r="A17" t="s">
        <v>517</v>
      </c>
      <c r="B17" t="s">
        <v>42</v>
      </c>
      <c r="C17" t="s">
        <v>43</v>
      </c>
      <c r="D17" t="s">
        <v>13</v>
      </c>
      <c r="E17" t="s">
        <v>674</v>
      </c>
      <c r="F17" s="154">
        <v>4.3499999999999996</v>
      </c>
      <c r="H17" s="154">
        <v>5</v>
      </c>
      <c r="I17">
        <v>1</v>
      </c>
      <c r="J17">
        <v>0</v>
      </c>
      <c r="K17">
        <v>20</v>
      </c>
    </row>
    <row r="18" spans="1:11" x14ac:dyDescent="0.35">
      <c r="A18" t="s">
        <v>518</v>
      </c>
      <c r="B18" t="s">
        <v>32</v>
      </c>
      <c r="C18" t="s">
        <v>44</v>
      </c>
      <c r="D18" t="s">
        <v>13</v>
      </c>
      <c r="E18" t="s">
        <v>674</v>
      </c>
      <c r="F18" s="154">
        <v>3.9749999999999996</v>
      </c>
      <c r="H18" s="154">
        <v>5</v>
      </c>
      <c r="I18">
        <v>0</v>
      </c>
      <c r="J18">
        <v>0</v>
      </c>
      <c r="K18">
        <v>20</v>
      </c>
    </row>
    <row r="19" spans="1:11" x14ac:dyDescent="0.35">
      <c r="A19" t="s">
        <v>519</v>
      </c>
      <c r="B19" t="s">
        <v>45</v>
      </c>
      <c r="C19" t="s">
        <v>46</v>
      </c>
      <c r="D19" t="s">
        <v>13</v>
      </c>
      <c r="E19" t="s">
        <v>674</v>
      </c>
      <c r="F19" s="154">
        <v>4.0999999999999996</v>
      </c>
      <c r="H19" s="154">
        <v>5</v>
      </c>
      <c r="I19">
        <v>0</v>
      </c>
      <c r="J19">
        <v>0</v>
      </c>
      <c r="K19">
        <v>20</v>
      </c>
    </row>
    <row r="20" spans="1:11" x14ac:dyDescent="0.35">
      <c r="A20" t="s">
        <v>520</v>
      </c>
      <c r="B20" t="s">
        <v>47</v>
      </c>
      <c r="C20" t="s">
        <v>48</v>
      </c>
      <c r="D20" t="s">
        <v>13</v>
      </c>
      <c r="E20" t="s">
        <v>674</v>
      </c>
      <c r="F20" s="154">
        <v>4.5</v>
      </c>
      <c r="H20" s="154">
        <v>5</v>
      </c>
      <c r="I20">
        <v>0</v>
      </c>
      <c r="J20">
        <v>0</v>
      </c>
      <c r="K20">
        <v>20</v>
      </c>
    </row>
    <row r="21" spans="1:11" x14ac:dyDescent="0.35">
      <c r="A21" t="s">
        <v>521</v>
      </c>
      <c r="B21" t="s">
        <v>49</v>
      </c>
      <c r="C21" t="s">
        <v>50</v>
      </c>
      <c r="D21" t="s">
        <v>13</v>
      </c>
      <c r="E21" t="s">
        <v>674</v>
      </c>
      <c r="F21" s="154">
        <v>4.3499999999999996</v>
      </c>
      <c r="H21" s="154">
        <v>5</v>
      </c>
      <c r="I21">
        <v>2</v>
      </c>
      <c r="J21">
        <v>3</v>
      </c>
      <c r="K21">
        <v>20</v>
      </c>
    </row>
    <row r="22" spans="1:11" x14ac:dyDescent="0.35">
      <c r="A22" t="s">
        <v>522</v>
      </c>
      <c r="B22" t="s">
        <v>38</v>
      </c>
      <c r="C22" t="s">
        <v>51</v>
      </c>
      <c r="D22" t="s">
        <v>13</v>
      </c>
      <c r="E22" t="s">
        <v>674</v>
      </c>
      <c r="F22" s="154">
        <v>3.4499999999999997</v>
      </c>
      <c r="H22" s="154">
        <v>5</v>
      </c>
      <c r="I22">
        <v>0</v>
      </c>
      <c r="J22">
        <v>1</v>
      </c>
      <c r="K22">
        <v>20</v>
      </c>
    </row>
    <row r="23" spans="1:11" x14ac:dyDescent="0.35">
      <c r="A23" t="s">
        <v>523</v>
      </c>
      <c r="B23" t="s">
        <v>52</v>
      </c>
      <c r="C23" t="s">
        <v>53</v>
      </c>
      <c r="D23" t="s">
        <v>13</v>
      </c>
      <c r="E23" t="s">
        <v>674</v>
      </c>
      <c r="F23" s="154">
        <v>3.95</v>
      </c>
      <c r="H23" s="154">
        <v>4.8860000000000001</v>
      </c>
      <c r="I23">
        <v>3</v>
      </c>
      <c r="J23">
        <v>4</v>
      </c>
      <c r="K23" t="s">
        <v>426</v>
      </c>
    </row>
    <row r="24" spans="1:11" x14ac:dyDescent="0.35">
      <c r="A24">
        <v>179446964</v>
      </c>
      <c r="B24" t="s">
        <v>54</v>
      </c>
      <c r="C24" t="s">
        <v>55</v>
      </c>
      <c r="D24" t="s">
        <v>13</v>
      </c>
      <c r="E24" t="s">
        <v>674</v>
      </c>
      <c r="F24" s="154">
        <v>4.375</v>
      </c>
      <c r="H24" s="154">
        <v>5</v>
      </c>
      <c r="I24">
        <v>0</v>
      </c>
      <c r="J24">
        <v>0</v>
      </c>
      <c r="K24" t="s">
        <v>426</v>
      </c>
    </row>
    <row r="25" spans="1:11" x14ac:dyDescent="0.35">
      <c r="A25" t="s">
        <v>524</v>
      </c>
      <c r="B25" t="s">
        <v>56</v>
      </c>
      <c r="C25" t="s">
        <v>57</v>
      </c>
      <c r="D25" t="s">
        <v>13</v>
      </c>
      <c r="E25" t="s">
        <v>674</v>
      </c>
      <c r="F25" s="154">
        <v>4.5999999999999996</v>
      </c>
      <c r="H25" s="154">
        <v>4.9399999999999995</v>
      </c>
      <c r="I25">
        <v>1</v>
      </c>
      <c r="J25">
        <v>0</v>
      </c>
      <c r="K25" t="s">
        <v>426</v>
      </c>
    </row>
    <row r="26" spans="1:11" x14ac:dyDescent="0.35">
      <c r="A26" t="s">
        <v>525</v>
      </c>
      <c r="B26" t="s">
        <v>58</v>
      </c>
      <c r="C26" t="s">
        <v>59</v>
      </c>
      <c r="D26" t="s">
        <v>13</v>
      </c>
      <c r="E26" t="s">
        <v>674</v>
      </c>
      <c r="F26" s="154">
        <v>4.5750000000000002</v>
      </c>
      <c r="H26" s="154">
        <v>5</v>
      </c>
      <c r="I26">
        <v>0</v>
      </c>
      <c r="J26">
        <v>0</v>
      </c>
      <c r="K26">
        <v>20</v>
      </c>
    </row>
    <row r="27" spans="1:11" x14ac:dyDescent="0.35">
      <c r="A27" t="s">
        <v>526</v>
      </c>
      <c r="B27" t="s">
        <v>60</v>
      </c>
      <c r="C27" t="s">
        <v>61</v>
      </c>
      <c r="D27" t="s">
        <v>13</v>
      </c>
      <c r="E27" t="s">
        <v>674</v>
      </c>
      <c r="F27" s="154">
        <v>4.4499999999999993</v>
      </c>
      <c r="H27" s="154">
        <v>5</v>
      </c>
      <c r="I27">
        <v>0</v>
      </c>
      <c r="J27">
        <v>1</v>
      </c>
      <c r="K27" t="s">
        <v>426</v>
      </c>
    </row>
    <row r="28" spans="1:11" x14ac:dyDescent="0.35">
      <c r="A28" t="s">
        <v>527</v>
      </c>
      <c r="B28" t="s">
        <v>62</v>
      </c>
      <c r="C28" t="s">
        <v>61</v>
      </c>
      <c r="D28" t="s">
        <v>13</v>
      </c>
      <c r="E28" t="s">
        <v>674</v>
      </c>
      <c r="F28" s="154">
        <v>3.875</v>
      </c>
      <c r="H28" s="154">
        <v>5</v>
      </c>
      <c r="I28">
        <v>2</v>
      </c>
      <c r="J28">
        <v>1</v>
      </c>
      <c r="K28" t="s">
        <v>426</v>
      </c>
    </row>
    <row r="29" spans="1:11" x14ac:dyDescent="0.35">
      <c r="A29" t="s">
        <v>528</v>
      </c>
      <c r="B29" t="s">
        <v>63</v>
      </c>
      <c r="C29" t="s">
        <v>64</v>
      </c>
      <c r="D29" t="s">
        <v>13</v>
      </c>
      <c r="E29" t="s">
        <v>674</v>
      </c>
      <c r="F29" s="154">
        <v>3.9249999999999998</v>
      </c>
      <c r="H29" s="154">
        <v>5</v>
      </c>
      <c r="I29">
        <v>0</v>
      </c>
      <c r="J29">
        <v>1</v>
      </c>
      <c r="K29">
        <v>20</v>
      </c>
    </row>
    <row r="30" spans="1:11" x14ac:dyDescent="0.35">
      <c r="A30" t="s">
        <v>529</v>
      </c>
      <c r="B30" t="s">
        <v>65</v>
      </c>
      <c r="C30" t="s">
        <v>66</v>
      </c>
      <c r="D30" t="s">
        <v>13</v>
      </c>
      <c r="E30" t="s">
        <v>674</v>
      </c>
      <c r="F30" s="154">
        <v>4.125</v>
      </c>
      <c r="H30" s="154">
        <v>4.8860000000000001</v>
      </c>
      <c r="I30">
        <v>4</v>
      </c>
      <c r="J30">
        <v>4</v>
      </c>
      <c r="K30">
        <v>20</v>
      </c>
    </row>
    <row r="31" spans="1:11" x14ac:dyDescent="0.35">
      <c r="A31" t="s">
        <v>530</v>
      </c>
      <c r="B31" t="s">
        <v>67</v>
      </c>
      <c r="C31" t="s">
        <v>68</v>
      </c>
      <c r="D31" t="s">
        <v>13</v>
      </c>
      <c r="E31" t="s">
        <v>674</v>
      </c>
      <c r="F31" s="154">
        <v>3.3</v>
      </c>
      <c r="H31" s="154">
        <v>5</v>
      </c>
      <c r="I31">
        <v>0</v>
      </c>
      <c r="J31">
        <v>0</v>
      </c>
      <c r="K31">
        <v>20</v>
      </c>
    </row>
    <row r="32" spans="1:11" x14ac:dyDescent="0.35">
      <c r="A32" t="s">
        <v>531</v>
      </c>
      <c r="B32" t="s">
        <v>69</v>
      </c>
      <c r="C32" t="s">
        <v>70</v>
      </c>
      <c r="D32" t="s">
        <v>13</v>
      </c>
      <c r="E32" t="s">
        <v>674</v>
      </c>
      <c r="F32" s="154">
        <v>4.1749999999999998</v>
      </c>
      <c r="H32" s="154">
        <v>5</v>
      </c>
      <c r="I32">
        <v>1</v>
      </c>
      <c r="J32">
        <v>0</v>
      </c>
      <c r="K32" t="s">
        <v>426</v>
      </c>
    </row>
    <row r="33" spans="1:11" x14ac:dyDescent="0.35">
      <c r="A33" t="s">
        <v>532</v>
      </c>
      <c r="B33" t="s">
        <v>32</v>
      </c>
      <c r="C33" t="s">
        <v>71</v>
      </c>
      <c r="D33" t="s">
        <v>72</v>
      </c>
      <c r="E33" t="s">
        <v>674</v>
      </c>
      <c r="F33" s="154">
        <v>4.05</v>
      </c>
      <c r="H33" s="154">
        <v>5</v>
      </c>
      <c r="I33">
        <v>0</v>
      </c>
      <c r="J33">
        <v>1</v>
      </c>
      <c r="K33">
        <v>20</v>
      </c>
    </row>
    <row r="34" spans="1:11" s="153" customFormat="1" x14ac:dyDescent="0.35">
      <c r="A34" t="s">
        <v>533</v>
      </c>
      <c r="B34" s="153" t="s">
        <v>73</v>
      </c>
      <c r="C34" s="153" t="s">
        <v>74</v>
      </c>
      <c r="D34" s="153" t="s">
        <v>72</v>
      </c>
      <c r="E34" t="s">
        <v>674</v>
      </c>
      <c r="F34" s="155">
        <v>4.2249999999999996</v>
      </c>
      <c r="H34" s="155">
        <v>5</v>
      </c>
      <c r="I34" s="153">
        <v>1</v>
      </c>
      <c r="J34" s="153">
        <v>3</v>
      </c>
      <c r="K34" s="153">
        <v>20</v>
      </c>
    </row>
    <row r="35" spans="1:11" s="153" customFormat="1" x14ac:dyDescent="0.35">
      <c r="A35" t="s">
        <v>534</v>
      </c>
      <c r="B35" s="153" t="s">
        <v>75</v>
      </c>
      <c r="C35" s="153" t="s">
        <v>74</v>
      </c>
      <c r="D35" s="153" t="s">
        <v>72</v>
      </c>
      <c r="E35" t="s">
        <v>674</v>
      </c>
      <c r="F35" s="155">
        <v>4.6499999999999995</v>
      </c>
      <c r="H35" s="155">
        <v>5</v>
      </c>
      <c r="I35" s="153">
        <v>0</v>
      </c>
      <c r="J35" s="153">
        <v>1</v>
      </c>
      <c r="K35" s="153">
        <v>20</v>
      </c>
    </row>
    <row r="36" spans="1:11" s="153" customFormat="1" x14ac:dyDescent="0.35">
      <c r="A36" t="s">
        <v>535</v>
      </c>
      <c r="B36" s="153" t="s">
        <v>76</v>
      </c>
      <c r="C36" s="153" t="s">
        <v>77</v>
      </c>
      <c r="D36" s="153" t="s">
        <v>72</v>
      </c>
      <c r="E36" t="s">
        <v>674</v>
      </c>
      <c r="F36" s="155">
        <v>3.9749999999999996</v>
      </c>
      <c r="H36" s="155">
        <v>5</v>
      </c>
      <c r="I36" s="153">
        <v>0</v>
      </c>
      <c r="J36" s="153">
        <v>1</v>
      </c>
      <c r="K36" s="153" t="s">
        <v>426</v>
      </c>
    </row>
    <row r="37" spans="1:11" s="153" customFormat="1" x14ac:dyDescent="0.35">
      <c r="A37" t="s">
        <v>536</v>
      </c>
      <c r="B37" s="153" t="s">
        <v>78</v>
      </c>
      <c r="C37" s="153" t="s">
        <v>79</v>
      </c>
      <c r="D37" s="153" t="s">
        <v>72</v>
      </c>
      <c r="E37" t="s">
        <v>674</v>
      </c>
      <c r="F37" s="155">
        <v>3.8</v>
      </c>
      <c r="H37" s="155">
        <v>3.2</v>
      </c>
      <c r="I37" s="153">
        <v>7</v>
      </c>
      <c r="J37" s="153">
        <v>1</v>
      </c>
      <c r="K37" s="153" t="s">
        <v>426</v>
      </c>
    </row>
    <row r="38" spans="1:11" s="153" customFormat="1" x14ac:dyDescent="0.35">
      <c r="A38" t="s">
        <v>537</v>
      </c>
      <c r="B38" s="153" t="s">
        <v>80</v>
      </c>
      <c r="C38" s="153" t="s">
        <v>81</v>
      </c>
      <c r="D38" s="153" t="s">
        <v>72</v>
      </c>
      <c r="E38" t="s">
        <v>674</v>
      </c>
      <c r="F38" s="155">
        <v>4.4249999999999998</v>
      </c>
      <c r="H38" s="155">
        <v>5</v>
      </c>
      <c r="I38" s="153">
        <v>0</v>
      </c>
      <c r="J38" s="153">
        <v>0</v>
      </c>
      <c r="K38" s="153" t="s">
        <v>426</v>
      </c>
    </row>
    <row r="39" spans="1:11" s="153" customFormat="1" x14ac:dyDescent="0.35">
      <c r="A39" t="s">
        <v>538</v>
      </c>
      <c r="B39" s="153" t="s">
        <v>82</v>
      </c>
      <c r="C39" s="153" t="s">
        <v>81</v>
      </c>
      <c r="D39" s="153" t="s">
        <v>72</v>
      </c>
      <c r="E39" t="s">
        <v>674</v>
      </c>
      <c r="F39" s="155">
        <v>4.6749999999999998</v>
      </c>
      <c r="H39" s="155">
        <v>4.91</v>
      </c>
      <c r="I39" s="153">
        <v>4</v>
      </c>
      <c r="J39" s="153">
        <v>0</v>
      </c>
      <c r="K39" s="153">
        <v>20</v>
      </c>
    </row>
    <row r="40" spans="1:11" s="153" customFormat="1" x14ac:dyDescent="0.35">
      <c r="A40" t="s">
        <v>539</v>
      </c>
      <c r="B40" s="153" t="s">
        <v>83</v>
      </c>
      <c r="C40" s="153" t="s">
        <v>84</v>
      </c>
      <c r="D40" s="153" t="s">
        <v>72</v>
      </c>
      <c r="E40" t="s">
        <v>674</v>
      </c>
      <c r="F40" s="155">
        <v>4.3999999999999995</v>
      </c>
      <c r="H40" s="155">
        <v>5</v>
      </c>
      <c r="I40" s="153">
        <v>0</v>
      </c>
      <c r="J40" s="153">
        <v>1</v>
      </c>
      <c r="K40" s="153">
        <v>20</v>
      </c>
    </row>
    <row r="41" spans="1:11" s="153" customFormat="1" x14ac:dyDescent="0.35">
      <c r="A41" t="s">
        <v>540</v>
      </c>
      <c r="B41" s="153" t="s">
        <v>85</v>
      </c>
      <c r="C41" s="153" t="s">
        <v>86</v>
      </c>
      <c r="D41" s="153" t="s">
        <v>72</v>
      </c>
      <c r="E41" t="s">
        <v>674</v>
      </c>
      <c r="F41" s="155">
        <v>4.4249999999999998</v>
      </c>
      <c r="H41" s="155">
        <v>5</v>
      </c>
      <c r="I41" s="153">
        <v>2</v>
      </c>
      <c r="J41" s="153">
        <v>0</v>
      </c>
      <c r="K41" s="153">
        <v>20</v>
      </c>
    </row>
    <row r="42" spans="1:11" s="153" customFormat="1" x14ac:dyDescent="0.35">
      <c r="A42" t="s">
        <v>541</v>
      </c>
      <c r="B42" s="153" t="s">
        <v>87</v>
      </c>
      <c r="C42" s="153" t="s">
        <v>88</v>
      </c>
      <c r="D42" s="153" t="s">
        <v>72</v>
      </c>
      <c r="E42" t="s">
        <v>674</v>
      </c>
      <c r="F42" s="155">
        <v>4.2249999999999996</v>
      </c>
      <c r="H42" s="155">
        <v>5</v>
      </c>
      <c r="I42" s="153">
        <v>1</v>
      </c>
      <c r="J42" s="153">
        <v>1</v>
      </c>
      <c r="K42" s="153">
        <v>20</v>
      </c>
    </row>
    <row r="43" spans="1:11" s="153" customFormat="1" x14ac:dyDescent="0.35">
      <c r="A43" t="s">
        <v>542</v>
      </c>
      <c r="B43" s="153" t="s">
        <v>89</v>
      </c>
      <c r="C43" s="153" t="s">
        <v>90</v>
      </c>
      <c r="D43" s="153" t="s">
        <v>72</v>
      </c>
      <c r="E43" t="s">
        <v>674</v>
      </c>
      <c r="F43" s="155">
        <v>4.125</v>
      </c>
      <c r="H43" s="155">
        <v>4.8499999999999996</v>
      </c>
      <c r="I43" s="153">
        <v>7</v>
      </c>
      <c r="J43" s="153">
        <v>0</v>
      </c>
      <c r="K43" s="153" t="s">
        <v>426</v>
      </c>
    </row>
    <row r="44" spans="1:11" s="153" customFormat="1" x14ac:dyDescent="0.35">
      <c r="A44" t="s">
        <v>543</v>
      </c>
      <c r="B44" s="153" t="s">
        <v>91</v>
      </c>
      <c r="C44" s="153" t="s">
        <v>92</v>
      </c>
      <c r="D44" s="153" t="s">
        <v>72</v>
      </c>
      <c r="E44" t="s">
        <v>674</v>
      </c>
      <c r="F44" s="155">
        <v>4.375</v>
      </c>
      <c r="H44" s="155">
        <v>3.26</v>
      </c>
      <c r="I44" s="153">
        <v>4</v>
      </c>
      <c r="J44" s="153">
        <v>0</v>
      </c>
      <c r="K44" s="153">
        <v>20</v>
      </c>
    </row>
    <row r="45" spans="1:11" s="153" customFormat="1" x14ac:dyDescent="0.35">
      <c r="A45" t="s">
        <v>544</v>
      </c>
      <c r="B45" s="153" t="s">
        <v>83</v>
      </c>
      <c r="C45" s="153" t="s">
        <v>93</v>
      </c>
      <c r="D45" s="153" t="s">
        <v>72</v>
      </c>
      <c r="E45" t="s">
        <v>674</v>
      </c>
      <c r="F45" s="155">
        <v>3.875</v>
      </c>
      <c r="H45" s="155">
        <v>4.91</v>
      </c>
      <c r="I45" s="153">
        <v>3</v>
      </c>
      <c r="J45" s="153">
        <v>2</v>
      </c>
      <c r="K45" s="153">
        <v>20</v>
      </c>
    </row>
    <row r="46" spans="1:11" s="153" customFormat="1" x14ac:dyDescent="0.35">
      <c r="A46" t="s">
        <v>545</v>
      </c>
      <c r="B46" s="153" t="s">
        <v>94</v>
      </c>
      <c r="C46" s="153" t="s">
        <v>95</v>
      </c>
      <c r="D46" s="153" t="s">
        <v>72</v>
      </c>
      <c r="E46" t="s">
        <v>674</v>
      </c>
      <c r="F46" s="155">
        <v>4.4250000000000007</v>
      </c>
      <c r="H46" s="155">
        <v>5</v>
      </c>
      <c r="I46" s="153">
        <v>1</v>
      </c>
      <c r="J46" s="153">
        <v>1</v>
      </c>
      <c r="K46" s="153">
        <v>20</v>
      </c>
    </row>
    <row r="47" spans="1:11" s="153" customFormat="1" x14ac:dyDescent="0.35">
      <c r="A47" t="s">
        <v>546</v>
      </c>
      <c r="B47" s="153" t="s">
        <v>96</v>
      </c>
      <c r="C47" s="153" t="s">
        <v>97</v>
      </c>
      <c r="D47" s="153" t="s">
        <v>72</v>
      </c>
      <c r="E47" t="s">
        <v>674</v>
      </c>
      <c r="F47" s="155">
        <v>4.5749999999999993</v>
      </c>
      <c r="H47" s="155">
        <v>5</v>
      </c>
      <c r="I47" s="153">
        <v>2</v>
      </c>
      <c r="J47" s="153">
        <v>0</v>
      </c>
      <c r="K47" s="153">
        <v>20</v>
      </c>
    </row>
    <row r="48" spans="1:11" s="153" customFormat="1" x14ac:dyDescent="0.35">
      <c r="A48" t="s">
        <v>547</v>
      </c>
      <c r="B48" s="153" t="s">
        <v>98</v>
      </c>
      <c r="C48" s="153" t="s">
        <v>99</v>
      </c>
      <c r="D48" s="153" t="s">
        <v>72</v>
      </c>
      <c r="E48" t="s">
        <v>674</v>
      </c>
      <c r="F48" s="155">
        <v>4.3999999999999995</v>
      </c>
      <c r="H48" s="155">
        <v>5</v>
      </c>
      <c r="I48" s="153">
        <v>1</v>
      </c>
      <c r="J48" s="153">
        <v>0</v>
      </c>
      <c r="K48" s="153">
        <v>20</v>
      </c>
    </row>
    <row r="49" spans="1:11" s="153" customFormat="1" x14ac:dyDescent="0.35">
      <c r="A49" t="s">
        <v>548</v>
      </c>
      <c r="B49" s="153" t="s">
        <v>36</v>
      </c>
      <c r="C49" s="153" t="s">
        <v>100</v>
      </c>
      <c r="D49" s="153" t="s">
        <v>72</v>
      </c>
      <c r="E49" t="s">
        <v>674</v>
      </c>
      <c r="F49" s="155">
        <v>4.5750000000000002</v>
      </c>
      <c r="H49" s="155">
        <v>5</v>
      </c>
      <c r="I49" s="153">
        <v>1</v>
      </c>
      <c r="J49" s="153">
        <v>0</v>
      </c>
      <c r="K49" s="153" t="s">
        <v>426</v>
      </c>
    </row>
    <row r="50" spans="1:11" s="153" customFormat="1" x14ac:dyDescent="0.35">
      <c r="A50" t="s">
        <v>549</v>
      </c>
      <c r="B50" s="153" t="s">
        <v>101</v>
      </c>
      <c r="C50" s="153" t="s">
        <v>102</v>
      </c>
      <c r="D50" s="153" t="s">
        <v>72</v>
      </c>
      <c r="E50" t="s">
        <v>674</v>
      </c>
      <c r="F50" s="155">
        <v>4.5750000000000002</v>
      </c>
      <c r="H50" s="155">
        <v>3.71</v>
      </c>
      <c r="I50" s="153">
        <v>5</v>
      </c>
      <c r="J50" s="153">
        <v>0</v>
      </c>
    </row>
    <row r="51" spans="1:11" s="153" customFormat="1" x14ac:dyDescent="0.35">
      <c r="A51" t="s">
        <v>550</v>
      </c>
      <c r="B51" s="153" t="s">
        <v>103</v>
      </c>
      <c r="C51" s="153" t="s">
        <v>102</v>
      </c>
      <c r="D51" s="153" t="s">
        <v>72</v>
      </c>
      <c r="E51" t="s">
        <v>674</v>
      </c>
      <c r="F51" s="155">
        <v>4.4249999999999989</v>
      </c>
      <c r="H51" s="155">
        <v>5</v>
      </c>
      <c r="I51" s="153">
        <v>0</v>
      </c>
      <c r="J51" s="153">
        <v>0</v>
      </c>
      <c r="K51" s="153">
        <v>20</v>
      </c>
    </row>
    <row r="52" spans="1:11" s="153" customFormat="1" x14ac:dyDescent="0.35">
      <c r="A52" t="s">
        <v>551</v>
      </c>
      <c r="B52" s="153" t="s">
        <v>54</v>
      </c>
      <c r="C52" s="153" t="s">
        <v>104</v>
      </c>
      <c r="D52" s="153" t="s">
        <v>72</v>
      </c>
      <c r="E52" t="s">
        <v>674</v>
      </c>
      <c r="F52" s="155">
        <v>3.7749999999999995</v>
      </c>
      <c r="H52" s="155">
        <v>5</v>
      </c>
      <c r="I52" s="153">
        <v>0</v>
      </c>
      <c r="J52" s="153">
        <v>1</v>
      </c>
      <c r="K52" s="153">
        <v>20</v>
      </c>
    </row>
    <row r="53" spans="1:11" x14ac:dyDescent="0.35">
      <c r="A53" t="s">
        <v>552</v>
      </c>
      <c r="B53" t="s">
        <v>105</v>
      </c>
      <c r="C53" t="s">
        <v>106</v>
      </c>
      <c r="D53" t="s">
        <v>72</v>
      </c>
      <c r="E53" t="s">
        <v>674</v>
      </c>
      <c r="F53" s="154">
        <v>4.6749999999999998</v>
      </c>
      <c r="H53" s="154">
        <v>5</v>
      </c>
      <c r="I53">
        <v>0</v>
      </c>
      <c r="J53">
        <v>0</v>
      </c>
      <c r="K53">
        <v>20</v>
      </c>
    </row>
    <row r="54" spans="1:11" x14ac:dyDescent="0.35">
      <c r="A54" t="s">
        <v>553</v>
      </c>
      <c r="B54" t="s">
        <v>107</v>
      </c>
      <c r="C54" t="s">
        <v>108</v>
      </c>
      <c r="D54" t="s">
        <v>72</v>
      </c>
      <c r="E54" t="s">
        <v>674</v>
      </c>
      <c r="F54" s="154">
        <v>4.1749999999999998</v>
      </c>
      <c r="H54" s="154">
        <v>5</v>
      </c>
      <c r="I54">
        <v>0</v>
      </c>
      <c r="J54">
        <v>0</v>
      </c>
      <c r="K54" t="s">
        <v>426</v>
      </c>
    </row>
    <row r="55" spans="1:11" x14ac:dyDescent="0.35">
      <c r="A55" t="s">
        <v>554</v>
      </c>
      <c r="B55" t="s">
        <v>109</v>
      </c>
      <c r="C55" t="s">
        <v>110</v>
      </c>
      <c r="D55" t="s">
        <v>72</v>
      </c>
      <c r="E55" t="s">
        <v>674</v>
      </c>
      <c r="F55" s="154">
        <v>4</v>
      </c>
      <c r="H55" s="154">
        <v>4.7</v>
      </c>
      <c r="I55">
        <v>1</v>
      </c>
      <c r="J55">
        <v>2</v>
      </c>
      <c r="K55">
        <v>20</v>
      </c>
    </row>
    <row r="56" spans="1:11" x14ac:dyDescent="0.35">
      <c r="A56" t="s">
        <v>555</v>
      </c>
      <c r="B56" t="s">
        <v>111</v>
      </c>
      <c r="C56" t="s">
        <v>112</v>
      </c>
      <c r="D56" t="s">
        <v>72</v>
      </c>
      <c r="E56" t="s">
        <v>674</v>
      </c>
      <c r="F56" s="154">
        <v>3.7749999999999999</v>
      </c>
      <c r="H56" s="154">
        <v>4.7</v>
      </c>
      <c r="I56">
        <v>0</v>
      </c>
      <c r="J56">
        <v>1</v>
      </c>
      <c r="K56" t="s">
        <v>426</v>
      </c>
    </row>
    <row r="57" spans="1:11" x14ac:dyDescent="0.35">
      <c r="A57" t="s">
        <v>556</v>
      </c>
      <c r="B57" t="s">
        <v>113</v>
      </c>
      <c r="C57" t="s">
        <v>114</v>
      </c>
      <c r="D57" t="s">
        <v>72</v>
      </c>
      <c r="E57" t="s">
        <v>674</v>
      </c>
      <c r="F57" s="154">
        <v>3.4499999999999997</v>
      </c>
      <c r="H57" s="154">
        <v>4.7</v>
      </c>
      <c r="I57">
        <v>0</v>
      </c>
      <c r="J57">
        <v>0</v>
      </c>
      <c r="K57">
        <v>20</v>
      </c>
    </row>
    <row r="58" spans="1:11" x14ac:dyDescent="0.35">
      <c r="A58" t="s">
        <v>557</v>
      </c>
      <c r="B58" t="s">
        <v>115</v>
      </c>
      <c r="C58" t="s">
        <v>116</v>
      </c>
      <c r="D58" t="s">
        <v>72</v>
      </c>
      <c r="E58" t="s">
        <v>674</v>
      </c>
      <c r="F58" s="154">
        <v>4.0749999999999993</v>
      </c>
      <c r="H58" s="154">
        <v>4.7</v>
      </c>
      <c r="I58">
        <v>1</v>
      </c>
      <c r="J58">
        <v>0</v>
      </c>
      <c r="K58" t="s">
        <v>426</v>
      </c>
    </row>
    <row r="59" spans="1:11" x14ac:dyDescent="0.35">
      <c r="A59" t="s">
        <v>558</v>
      </c>
      <c r="B59" t="s">
        <v>38</v>
      </c>
      <c r="C59" t="s">
        <v>117</v>
      </c>
      <c r="D59" t="s">
        <v>72</v>
      </c>
      <c r="E59" t="s">
        <v>674</v>
      </c>
      <c r="F59" s="154">
        <v>4.0249999999999995</v>
      </c>
      <c r="H59" s="154">
        <v>4.7</v>
      </c>
      <c r="I59">
        <v>0</v>
      </c>
      <c r="J59">
        <v>0</v>
      </c>
      <c r="K59">
        <v>20</v>
      </c>
    </row>
    <row r="60" spans="1:11" x14ac:dyDescent="0.35">
      <c r="A60" t="s">
        <v>559</v>
      </c>
      <c r="B60" t="s">
        <v>118</v>
      </c>
      <c r="C60" t="s">
        <v>119</v>
      </c>
      <c r="D60" t="s">
        <v>72</v>
      </c>
      <c r="E60" t="s">
        <v>674</v>
      </c>
      <c r="F60" s="154">
        <v>4.125</v>
      </c>
      <c r="H60" s="154">
        <v>4.7</v>
      </c>
      <c r="I60">
        <v>2</v>
      </c>
      <c r="J60">
        <v>1</v>
      </c>
      <c r="K60">
        <v>20</v>
      </c>
    </row>
    <row r="61" spans="1:11" x14ac:dyDescent="0.35">
      <c r="A61" t="s">
        <v>560</v>
      </c>
      <c r="B61" t="s">
        <v>120</v>
      </c>
      <c r="C61" t="s">
        <v>121</v>
      </c>
      <c r="D61" t="s">
        <v>72</v>
      </c>
      <c r="E61" t="s">
        <v>674</v>
      </c>
      <c r="F61" s="154">
        <v>4.3250000000000002</v>
      </c>
      <c r="H61" s="154">
        <v>4.6399999999999997</v>
      </c>
      <c r="I61">
        <v>3</v>
      </c>
      <c r="J61">
        <v>2</v>
      </c>
      <c r="K61">
        <v>20</v>
      </c>
    </row>
    <row r="62" spans="1:11" x14ac:dyDescent="0.35">
      <c r="A62" t="s">
        <v>561</v>
      </c>
      <c r="B62" t="s">
        <v>122</v>
      </c>
      <c r="C62" t="s">
        <v>123</v>
      </c>
      <c r="D62" t="s">
        <v>72</v>
      </c>
      <c r="E62" t="s">
        <v>674</v>
      </c>
      <c r="F62" s="154">
        <v>4.6749999999999998</v>
      </c>
      <c r="H62" s="154">
        <v>4.7</v>
      </c>
      <c r="I62">
        <v>0</v>
      </c>
      <c r="J62">
        <v>1</v>
      </c>
      <c r="K62">
        <v>20</v>
      </c>
    </row>
    <row r="63" spans="1:11" x14ac:dyDescent="0.35">
      <c r="A63" t="s">
        <v>562</v>
      </c>
      <c r="B63" t="s">
        <v>124</v>
      </c>
      <c r="C63" t="s">
        <v>125</v>
      </c>
      <c r="D63" t="s">
        <v>72</v>
      </c>
      <c r="E63" t="s">
        <v>674</v>
      </c>
      <c r="F63" s="154">
        <v>4.3499999999999996</v>
      </c>
      <c r="H63" s="154">
        <v>4.7</v>
      </c>
      <c r="I63">
        <v>0</v>
      </c>
      <c r="J63">
        <v>0</v>
      </c>
      <c r="K63" t="s">
        <v>426</v>
      </c>
    </row>
    <row r="64" spans="1:11" x14ac:dyDescent="0.35">
      <c r="A64" t="s">
        <v>563</v>
      </c>
      <c r="B64" t="s">
        <v>126</v>
      </c>
      <c r="C64" t="s">
        <v>127</v>
      </c>
      <c r="D64" t="s">
        <v>13</v>
      </c>
      <c r="E64" t="s">
        <v>675</v>
      </c>
      <c r="F64" s="154">
        <v>4.4000000000000004</v>
      </c>
      <c r="G64" s="154">
        <v>4.4000000000000004</v>
      </c>
      <c r="H64" s="154">
        <v>4.5259999999999998</v>
      </c>
      <c r="I64">
        <v>6</v>
      </c>
      <c r="J64">
        <v>5</v>
      </c>
      <c r="K64">
        <v>20</v>
      </c>
    </row>
    <row r="65" spans="1:11" x14ac:dyDescent="0.35">
      <c r="A65" t="s">
        <v>564</v>
      </c>
      <c r="B65" t="s">
        <v>98</v>
      </c>
      <c r="C65" t="s">
        <v>128</v>
      </c>
      <c r="D65" t="s">
        <v>13</v>
      </c>
      <c r="E65" t="s">
        <v>675</v>
      </c>
      <c r="F65" s="154">
        <v>4.54</v>
      </c>
      <c r="G65" s="154">
        <v>4.5999999999999996</v>
      </c>
      <c r="H65" s="154">
        <v>4.6280000000000001</v>
      </c>
      <c r="I65">
        <v>3</v>
      </c>
      <c r="J65">
        <v>0</v>
      </c>
      <c r="K65">
        <v>20</v>
      </c>
    </row>
    <row r="66" spans="1:11" x14ac:dyDescent="0.35">
      <c r="A66" t="s">
        <v>565</v>
      </c>
      <c r="B66" t="s">
        <v>129</v>
      </c>
      <c r="C66" t="s">
        <v>130</v>
      </c>
      <c r="D66" t="s">
        <v>13</v>
      </c>
      <c r="E66" t="s">
        <v>675</v>
      </c>
      <c r="F66" s="154">
        <v>4.3600000000000003</v>
      </c>
      <c r="G66" s="154">
        <v>4.4000000000000004</v>
      </c>
      <c r="H66" s="154">
        <v>4.3979999999999997</v>
      </c>
      <c r="I66">
        <v>3</v>
      </c>
      <c r="J66">
        <v>2</v>
      </c>
      <c r="K66">
        <v>20</v>
      </c>
    </row>
    <row r="67" spans="1:11" x14ac:dyDescent="0.35">
      <c r="A67" t="s">
        <v>566</v>
      </c>
      <c r="B67" t="s">
        <v>131</v>
      </c>
      <c r="C67" t="s">
        <v>132</v>
      </c>
      <c r="D67" t="s">
        <v>13</v>
      </c>
      <c r="E67" t="s">
        <v>675</v>
      </c>
      <c r="F67" s="154">
        <v>4.42</v>
      </c>
      <c r="G67" s="154">
        <v>4.3</v>
      </c>
      <c r="H67" s="154">
        <v>4.0579999999999998</v>
      </c>
      <c r="I67">
        <v>0</v>
      </c>
      <c r="J67">
        <v>0</v>
      </c>
      <c r="K67">
        <v>20</v>
      </c>
    </row>
    <row r="68" spans="1:11" x14ac:dyDescent="0.35">
      <c r="A68" t="s">
        <v>567</v>
      </c>
      <c r="B68" t="s">
        <v>133</v>
      </c>
      <c r="C68" t="s">
        <v>134</v>
      </c>
      <c r="D68" t="s">
        <v>13</v>
      </c>
      <c r="E68" t="s">
        <v>675</v>
      </c>
      <c r="F68" s="154">
        <v>4.58</v>
      </c>
      <c r="G68" s="154">
        <v>3.2</v>
      </c>
      <c r="H68" s="154">
        <v>4.4899999999999993</v>
      </c>
      <c r="I68">
        <v>7</v>
      </c>
      <c r="J68">
        <v>1</v>
      </c>
      <c r="K68">
        <v>20</v>
      </c>
    </row>
    <row r="69" spans="1:11" x14ac:dyDescent="0.35">
      <c r="A69" t="s">
        <v>568</v>
      </c>
      <c r="B69" t="s">
        <v>135</v>
      </c>
      <c r="C69" t="s">
        <v>134</v>
      </c>
      <c r="D69" t="s">
        <v>13</v>
      </c>
      <c r="E69" t="s">
        <v>675</v>
      </c>
      <c r="F69" s="154">
        <v>4.8</v>
      </c>
      <c r="G69" s="154">
        <v>3.8</v>
      </c>
      <c r="H69" s="154">
        <v>4.1180000000000003</v>
      </c>
      <c r="I69">
        <v>0</v>
      </c>
      <c r="J69">
        <v>9</v>
      </c>
      <c r="K69">
        <v>20</v>
      </c>
    </row>
    <row r="70" spans="1:11" x14ac:dyDescent="0.35">
      <c r="A70" t="s">
        <v>569</v>
      </c>
      <c r="B70" t="s">
        <v>14</v>
      </c>
      <c r="C70" t="s">
        <v>23</v>
      </c>
      <c r="D70" t="s">
        <v>13</v>
      </c>
      <c r="E70" t="s">
        <v>675</v>
      </c>
      <c r="F70" s="154">
        <v>4.5600000000000005</v>
      </c>
      <c r="G70" s="154">
        <v>4.5</v>
      </c>
      <c r="H70" s="154">
        <v>4.5399999999999991</v>
      </c>
      <c r="I70">
        <v>6</v>
      </c>
      <c r="J70">
        <v>3</v>
      </c>
      <c r="K70" t="s">
        <v>426</v>
      </c>
    </row>
    <row r="71" spans="1:11" x14ac:dyDescent="0.35">
      <c r="A71" t="s">
        <v>570</v>
      </c>
      <c r="B71" t="s">
        <v>11</v>
      </c>
      <c r="C71" t="s">
        <v>136</v>
      </c>
      <c r="D71" t="s">
        <v>13</v>
      </c>
      <c r="E71" t="s">
        <v>675</v>
      </c>
      <c r="F71" s="154">
        <v>4.58</v>
      </c>
      <c r="G71" s="154">
        <v>4.3</v>
      </c>
      <c r="H71" s="154">
        <v>4.67</v>
      </c>
      <c r="I71">
        <v>2</v>
      </c>
      <c r="J71">
        <v>0</v>
      </c>
      <c r="K71" t="s">
        <v>426</v>
      </c>
    </row>
    <row r="72" spans="1:11" x14ac:dyDescent="0.35">
      <c r="A72" t="s">
        <v>571</v>
      </c>
      <c r="B72" t="s">
        <v>137</v>
      </c>
      <c r="C72" t="s">
        <v>99</v>
      </c>
      <c r="D72" t="s">
        <v>13</v>
      </c>
      <c r="E72" t="s">
        <v>675</v>
      </c>
      <c r="F72" s="154">
        <v>4.5200000000000005</v>
      </c>
      <c r="G72" s="154">
        <v>4.4000000000000004</v>
      </c>
      <c r="H72" s="154">
        <v>4.2540000000000004</v>
      </c>
      <c r="I72">
        <v>6</v>
      </c>
      <c r="J72">
        <v>4</v>
      </c>
      <c r="K72" t="s">
        <v>426</v>
      </c>
    </row>
    <row r="73" spans="1:11" x14ac:dyDescent="0.35">
      <c r="A73" t="s">
        <v>572</v>
      </c>
      <c r="B73" t="s">
        <v>138</v>
      </c>
      <c r="C73" t="s">
        <v>102</v>
      </c>
      <c r="D73" t="s">
        <v>13</v>
      </c>
      <c r="E73" t="s">
        <v>675</v>
      </c>
      <c r="F73" s="154">
        <v>4.7</v>
      </c>
      <c r="G73" s="154">
        <v>4.3</v>
      </c>
      <c r="H73" s="154">
        <v>4.5380000000000003</v>
      </c>
      <c r="I73">
        <v>4</v>
      </c>
      <c r="J73">
        <v>0</v>
      </c>
      <c r="K73">
        <v>20</v>
      </c>
    </row>
    <row r="74" spans="1:11" x14ac:dyDescent="0.35">
      <c r="A74" t="s">
        <v>573</v>
      </c>
      <c r="B74" t="s">
        <v>139</v>
      </c>
      <c r="C74" t="s">
        <v>140</v>
      </c>
      <c r="D74" t="s">
        <v>13</v>
      </c>
      <c r="E74" t="s">
        <v>675</v>
      </c>
      <c r="F74" s="154">
        <v>4.66</v>
      </c>
      <c r="G74" s="154">
        <v>4.4000000000000004</v>
      </c>
      <c r="H74" s="154">
        <v>3.9499999999999993</v>
      </c>
      <c r="I74">
        <v>7</v>
      </c>
      <c r="J74">
        <v>1</v>
      </c>
      <c r="K74">
        <v>20</v>
      </c>
    </row>
    <row r="75" spans="1:11" x14ac:dyDescent="0.35">
      <c r="A75" t="s">
        <v>574</v>
      </c>
      <c r="B75" t="s">
        <v>141</v>
      </c>
      <c r="C75" t="s">
        <v>39</v>
      </c>
      <c r="D75" t="s">
        <v>13</v>
      </c>
      <c r="E75" t="s">
        <v>675</v>
      </c>
      <c r="F75" s="154">
        <v>4.58</v>
      </c>
      <c r="G75" s="154">
        <v>4.5999999999999996</v>
      </c>
      <c r="H75" s="154">
        <v>4.0279999999999996</v>
      </c>
      <c r="I75">
        <v>3</v>
      </c>
      <c r="J75">
        <v>1</v>
      </c>
      <c r="K75">
        <v>20</v>
      </c>
    </row>
    <row r="76" spans="1:11" x14ac:dyDescent="0.35">
      <c r="A76" t="s">
        <v>575</v>
      </c>
      <c r="B76" t="s">
        <v>142</v>
      </c>
      <c r="C76" t="s">
        <v>143</v>
      </c>
      <c r="D76" t="s">
        <v>13</v>
      </c>
      <c r="E76" t="s">
        <v>675</v>
      </c>
      <c r="F76" s="154">
        <v>4.66</v>
      </c>
      <c r="G76" s="154">
        <v>4.0999999999999996</v>
      </c>
      <c r="H76" s="154">
        <v>4.5279999999999996</v>
      </c>
      <c r="I76">
        <v>4</v>
      </c>
      <c r="J76">
        <v>2</v>
      </c>
      <c r="K76">
        <v>20</v>
      </c>
    </row>
    <row r="77" spans="1:11" x14ac:dyDescent="0.35">
      <c r="A77" t="s">
        <v>576</v>
      </c>
      <c r="B77" t="s">
        <v>144</v>
      </c>
      <c r="C77" t="s">
        <v>112</v>
      </c>
      <c r="D77" t="s">
        <v>13</v>
      </c>
      <c r="E77" t="s">
        <v>675</v>
      </c>
      <c r="F77" s="154">
        <v>4.46</v>
      </c>
      <c r="G77" s="154">
        <v>4.7</v>
      </c>
      <c r="H77" s="154">
        <v>4.79</v>
      </c>
      <c r="I77">
        <v>1</v>
      </c>
      <c r="J77">
        <v>0</v>
      </c>
      <c r="K77">
        <v>20</v>
      </c>
    </row>
    <row r="78" spans="1:11" x14ac:dyDescent="0.35">
      <c r="A78" t="s">
        <v>577</v>
      </c>
      <c r="B78" t="s">
        <v>145</v>
      </c>
      <c r="C78" t="s">
        <v>146</v>
      </c>
      <c r="D78" t="s">
        <v>13</v>
      </c>
      <c r="E78" t="s">
        <v>675</v>
      </c>
      <c r="F78" s="154">
        <v>4.3600000000000003</v>
      </c>
      <c r="G78" s="154">
        <v>3.7</v>
      </c>
      <c r="H78" s="154">
        <v>4.7240000000000002</v>
      </c>
      <c r="I78">
        <v>4</v>
      </c>
      <c r="J78">
        <v>4</v>
      </c>
      <c r="K78">
        <v>20</v>
      </c>
    </row>
    <row r="79" spans="1:11" x14ac:dyDescent="0.35">
      <c r="A79" t="s">
        <v>578</v>
      </c>
      <c r="B79" t="s">
        <v>147</v>
      </c>
      <c r="C79" t="s">
        <v>148</v>
      </c>
      <c r="D79" t="s">
        <v>13</v>
      </c>
      <c r="E79" t="s">
        <v>675</v>
      </c>
      <c r="F79" s="154">
        <v>4.62</v>
      </c>
      <c r="G79" s="154">
        <v>4.5</v>
      </c>
      <c r="H79" s="154">
        <v>4.6999999999999993</v>
      </c>
      <c r="I79">
        <v>1</v>
      </c>
      <c r="J79">
        <v>2</v>
      </c>
      <c r="K79">
        <v>20</v>
      </c>
    </row>
    <row r="80" spans="1:11" x14ac:dyDescent="0.35">
      <c r="A80" t="s">
        <v>579</v>
      </c>
      <c r="B80" t="s">
        <v>149</v>
      </c>
      <c r="C80" t="s">
        <v>150</v>
      </c>
      <c r="D80" t="s">
        <v>13</v>
      </c>
      <c r="E80" t="s">
        <v>675</v>
      </c>
      <c r="F80" s="154">
        <v>4.6399999999999997</v>
      </c>
      <c r="G80" s="154">
        <v>4.5999999999999996</v>
      </c>
      <c r="H80" s="154">
        <v>4.82</v>
      </c>
      <c r="I80">
        <v>0</v>
      </c>
      <c r="J80">
        <v>0</v>
      </c>
      <c r="K80">
        <v>20</v>
      </c>
    </row>
    <row r="81" spans="1:11" x14ac:dyDescent="0.35">
      <c r="A81" t="s">
        <v>580</v>
      </c>
      <c r="B81" t="s">
        <v>151</v>
      </c>
      <c r="C81" t="s">
        <v>46</v>
      </c>
      <c r="D81" t="s">
        <v>13</v>
      </c>
      <c r="E81" t="s">
        <v>675</v>
      </c>
      <c r="F81" s="154">
        <v>4</v>
      </c>
      <c r="G81" s="154">
        <v>3.5</v>
      </c>
      <c r="H81" s="154">
        <v>4.12</v>
      </c>
      <c r="I81">
        <v>6</v>
      </c>
      <c r="J81">
        <v>1</v>
      </c>
      <c r="K81">
        <v>20</v>
      </c>
    </row>
    <row r="82" spans="1:11" x14ac:dyDescent="0.35">
      <c r="A82" t="s">
        <v>581</v>
      </c>
      <c r="B82" t="s">
        <v>56</v>
      </c>
      <c r="C82" t="s">
        <v>152</v>
      </c>
      <c r="D82" t="s">
        <v>13</v>
      </c>
      <c r="E82" t="s">
        <v>675</v>
      </c>
      <c r="F82" s="154">
        <v>4.7799999999999994</v>
      </c>
      <c r="G82" s="154">
        <v>4.7</v>
      </c>
      <c r="H82" s="154">
        <v>4.82</v>
      </c>
      <c r="I82">
        <v>1</v>
      </c>
      <c r="J82">
        <v>0</v>
      </c>
      <c r="K82">
        <v>20</v>
      </c>
    </row>
    <row r="83" spans="1:11" x14ac:dyDescent="0.35">
      <c r="A83" t="s">
        <v>582</v>
      </c>
      <c r="B83" t="s">
        <v>135</v>
      </c>
      <c r="C83" t="s">
        <v>119</v>
      </c>
      <c r="D83" t="s">
        <v>13</v>
      </c>
      <c r="E83" t="s">
        <v>675</v>
      </c>
      <c r="F83" s="154">
        <v>4.24</v>
      </c>
      <c r="G83" s="154">
        <v>4.5</v>
      </c>
      <c r="H83" s="154">
        <v>4.8199999999999994</v>
      </c>
      <c r="I83">
        <v>0</v>
      </c>
      <c r="J83">
        <v>0</v>
      </c>
      <c r="K83">
        <v>20</v>
      </c>
    </row>
    <row r="84" spans="1:11" x14ac:dyDescent="0.35">
      <c r="A84" t="s">
        <v>583</v>
      </c>
      <c r="B84" t="s">
        <v>153</v>
      </c>
      <c r="C84" t="s">
        <v>154</v>
      </c>
      <c r="D84" t="s">
        <v>13</v>
      </c>
      <c r="E84" t="s">
        <v>675</v>
      </c>
      <c r="F84" s="154">
        <v>3.8600000000000003</v>
      </c>
      <c r="G84" s="154">
        <v>4.4000000000000004</v>
      </c>
      <c r="H84" s="154">
        <v>3.8</v>
      </c>
      <c r="I84">
        <v>6</v>
      </c>
      <c r="J84">
        <v>13</v>
      </c>
      <c r="K84">
        <v>40</v>
      </c>
    </row>
    <row r="85" spans="1:11" x14ac:dyDescent="0.35">
      <c r="A85" t="s">
        <v>584</v>
      </c>
      <c r="B85" t="s">
        <v>155</v>
      </c>
      <c r="C85" t="s">
        <v>53</v>
      </c>
      <c r="D85" t="s">
        <v>13</v>
      </c>
      <c r="E85" t="s">
        <v>675</v>
      </c>
      <c r="F85" s="154">
        <v>4.84</v>
      </c>
      <c r="G85" s="154">
        <v>4</v>
      </c>
      <c r="H85" s="154">
        <v>4.8499999999999996</v>
      </c>
      <c r="I85">
        <v>6</v>
      </c>
      <c r="J85">
        <v>2</v>
      </c>
      <c r="K85">
        <v>20</v>
      </c>
    </row>
    <row r="86" spans="1:11" x14ac:dyDescent="0.35">
      <c r="A86" t="s">
        <v>585</v>
      </c>
      <c r="B86" t="s">
        <v>156</v>
      </c>
      <c r="C86" t="s">
        <v>157</v>
      </c>
      <c r="D86" t="s">
        <v>13</v>
      </c>
      <c r="E86" t="s">
        <v>675</v>
      </c>
      <c r="F86" s="154">
        <v>4.4399999999999995</v>
      </c>
      <c r="G86" s="154">
        <v>4.5999999999999996</v>
      </c>
      <c r="H86" s="154">
        <v>4.056</v>
      </c>
      <c r="I86">
        <v>3</v>
      </c>
      <c r="J86">
        <v>4</v>
      </c>
      <c r="K86">
        <v>20</v>
      </c>
    </row>
    <row r="87" spans="1:11" x14ac:dyDescent="0.35">
      <c r="A87" t="s">
        <v>586</v>
      </c>
      <c r="B87" t="s">
        <v>158</v>
      </c>
      <c r="C87" t="s">
        <v>159</v>
      </c>
      <c r="D87" t="s">
        <v>13</v>
      </c>
      <c r="E87" t="s">
        <v>675</v>
      </c>
      <c r="F87" s="154">
        <v>4.4799999999999995</v>
      </c>
      <c r="G87" s="154">
        <v>4.4000000000000004</v>
      </c>
      <c r="H87" s="154">
        <v>4.67</v>
      </c>
      <c r="I87">
        <v>0</v>
      </c>
      <c r="J87">
        <v>0</v>
      </c>
      <c r="K87">
        <v>20</v>
      </c>
    </row>
    <row r="88" spans="1:11" x14ac:dyDescent="0.35">
      <c r="A88" t="s">
        <v>587</v>
      </c>
      <c r="B88" t="s">
        <v>160</v>
      </c>
      <c r="C88" t="s">
        <v>161</v>
      </c>
      <c r="D88" t="s">
        <v>13</v>
      </c>
      <c r="E88" t="s">
        <v>675</v>
      </c>
      <c r="F88" s="154">
        <v>4.68</v>
      </c>
      <c r="G88" s="154">
        <v>4.3</v>
      </c>
      <c r="H88" s="154">
        <v>4.76</v>
      </c>
      <c r="I88">
        <v>6</v>
      </c>
      <c r="J88">
        <v>0</v>
      </c>
      <c r="K88">
        <v>20</v>
      </c>
    </row>
    <row r="89" spans="1:11" x14ac:dyDescent="0.35">
      <c r="A89" t="s">
        <v>588</v>
      </c>
      <c r="B89" t="s">
        <v>162</v>
      </c>
      <c r="C89" t="s">
        <v>163</v>
      </c>
      <c r="D89" t="s">
        <v>13</v>
      </c>
      <c r="E89" t="s">
        <v>675</v>
      </c>
      <c r="F89" s="154">
        <v>4.46</v>
      </c>
      <c r="G89" s="154">
        <v>3.3</v>
      </c>
      <c r="H89" s="154">
        <v>3.98</v>
      </c>
      <c r="I89">
        <v>2</v>
      </c>
      <c r="J89">
        <v>0</v>
      </c>
      <c r="K89">
        <v>20</v>
      </c>
    </row>
    <row r="90" spans="1:11" x14ac:dyDescent="0.35">
      <c r="A90" t="s">
        <v>589</v>
      </c>
      <c r="B90" t="s">
        <v>164</v>
      </c>
      <c r="C90" t="s">
        <v>165</v>
      </c>
      <c r="D90" t="s">
        <v>13</v>
      </c>
      <c r="E90" t="s">
        <v>675</v>
      </c>
      <c r="F90" s="154">
        <v>3.6</v>
      </c>
      <c r="G90" s="154">
        <v>3.8</v>
      </c>
      <c r="H90" s="154">
        <v>3.9259999999999997</v>
      </c>
      <c r="I90">
        <v>4</v>
      </c>
      <c r="J90">
        <v>5</v>
      </c>
      <c r="K90">
        <v>20</v>
      </c>
    </row>
    <row r="91" spans="1:11" x14ac:dyDescent="0.35">
      <c r="A91">
        <v>181485973</v>
      </c>
      <c r="B91" t="s">
        <v>166</v>
      </c>
      <c r="C91" t="s">
        <v>167</v>
      </c>
      <c r="D91" t="s">
        <v>13</v>
      </c>
      <c r="E91" t="s">
        <v>675</v>
      </c>
      <c r="F91" s="154">
        <v>4.6399999999999997</v>
      </c>
      <c r="G91" s="154">
        <v>4.5999999999999996</v>
      </c>
      <c r="H91" s="154">
        <v>4.59</v>
      </c>
      <c r="I91">
        <v>6</v>
      </c>
      <c r="J91">
        <v>0</v>
      </c>
      <c r="K91">
        <v>20</v>
      </c>
    </row>
    <row r="92" spans="1:11" x14ac:dyDescent="0.35">
      <c r="A92" t="s">
        <v>590</v>
      </c>
      <c r="B92" t="s">
        <v>54</v>
      </c>
      <c r="C92" t="s">
        <v>168</v>
      </c>
      <c r="D92" t="s">
        <v>13</v>
      </c>
      <c r="E92" t="s">
        <v>675</v>
      </c>
      <c r="F92" s="154">
        <v>4.7</v>
      </c>
      <c r="G92" s="154">
        <v>4.4000000000000004</v>
      </c>
      <c r="H92" s="154">
        <v>4.67</v>
      </c>
      <c r="I92">
        <v>3</v>
      </c>
      <c r="J92">
        <v>0</v>
      </c>
      <c r="K92">
        <v>20</v>
      </c>
    </row>
    <row r="93" spans="1:11" x14ac:dyDescent="0.35">
      <c r="A93" t="s">
        <v>591</v>
      </c>
      <c r="B93" t="s">
        <v>169</v>
      </c>
      <c r="C93" t="s">
        <v>170</v>
      </c>
      <c r="D93" t="s">
        <v>72</v>
      </c>
      <c r="E93" t="s">
        <v>675</v>
      </c>
      <c r="F93" s="154">
        <v>4.54</v>
      </c>
      <c r="G93" s="154">
        <v>4.5999999999999996</v>
      </c>
      <c r="H93" s="154">
        <v>4.67</v>
      </c>
      <c r="I93">
        <v>2</v>
      </c>
      <c r="J93">
        <v>0</v>
      </c>
      <c r="K93">
        <v>20</v>
      </c>
    </row>
    <row r="94" spans="1:11" x14ac:dyDescent="0.35">
      <c r="A94" t="s">
        <v>592</v>
      </c>
      <c r="B94" t="s">
        <v>171</v>
      </c>
      <c r="C94" t="s">
        <v>172</v>
      </c>
      <c r="D94" t="s">
        <v>72</v>
      </c>
      <c r="E94" t="s">
        <v>675</v>
      </c>
      <c r="F94" s="154">
        <v>4.9000000000000004</v>
      </c>
      <c r="G94" s="154">
        <v>4.8</v>
      </c>
      <c r="H94" s="154">
        <v>4.38</v>
      </c>
      <c r="I94">
        <v>0</v>
      </c>
      <c r="J94">
        <v>0</v>
      </c>
      <c r="K94">
        <v>20</v>
      </c>
    </row>
    <row r="95" spans="1:11" x14ac:dyDescent="0.35">
      <c r="A95" t="s">
        <v>593</v>
      </c>
      <c r="B95" t="s">
        <v>173</v>
      </c>
      <c r="C95" t="s">
        <v>174</v>
      </c>
      <c r="D95" t="s">
        <v>72</v>
      </c>
      <c r="E95" t="s">
        <v>675</v>
      </c>
      <c r="F95" s="154">
        <v>4.16</v>
      </c>
      <c r="G95" s="154">
        <v>4.4000000000000004</v>
      </c>
      <c r="H95" s="154">
        <v>4.4779999999999998</v>
      </c>
      <c r="I95">
        <v>3</v>
      </c>
      <c r="J95">
        <v>0</v>
      </c>
      <c r="K95">
        <v>20</v>
      </c>
    </row>
    <row r="96" spans="1:11" x14ac:dyDescent="0.35">
      <c r="A96" t="s">
        <v>594</v>
      </c>
      <c r="B96" t="s">
        <v>175</v>
      </c>
      <c r="C96" t="s">
        <v>176</v>
      </c>
      <c r="D96" t="s">
        <v>72</v>
      </c>
      <c r="E96" t="s">
        <v>675</v>
      </c>
      <c r="F96" s="154">
        <v>4.58</v>
      </c>
      <c r="G96" s="154">
        <v>4.7</v>
      </c>
      <c r="H96" s="154">
        <v>4.82</v>
      </c>
      <c r="I96">
        <v>0</v>
      </c>
      <c r="J96">
        <v>0</v>
      </c>
      <c r="K96">
        <v>20</v>
      </c>
    </row>
    <row r="97" spans="1:11" x14ac:dyDescent="0.35">
      <c r="A97" t="s">
        <v>595</v>
      </c>
      <c r="B97" t="s">
        <v>177</v>
      </c>
      <c r="C97" t="s">
        <v>178</v>
      </c>
      <c r="D97" t="s">
        <v>72</v>
      </c>
      <c r="E97" t="s">
        <v>675</v>
      </c>
      <c r="F97" s="154">
        <v>3.8200000000000003</v>
      </c>
      <c r="G97" s="154">
        <v>4.0999999999999996</v>
      </c>
      <c r="H97" s="154">
        <v>4.6100000000000003</v>
      </c>
      <c r="I97">
        <v>2</v>
      </c>
      <c r="J97">
        <v>0</v>
      </c>
      <c r="K97">
        <v>20</v>
      </c>
    </row>
    <row r="98" spans="1:11" x14ac:dyDescent="0.35">
      <c r="A98" t="s">
        <v>596</v>
      </c>
      <c r="B98" t="s">
        <v>179</v>
      </c>
      <c r="C98" t="s">
        <v>180</v>
      </c>
      <c r="D98" t="s">
        <v>72</v>
      </c>
      <c r="E98" t="s">
        <v>675</v>
      </c>
      <c r="F98" s="154">
        <v>4.88</v>
      </c>
      <c r="G98" s="154">
        <v>4.8</v>
      </c>
      <c r="H98" s="154">
        <v>4.7</v>
      </c>
      <c r="I98">
        <v>0</v>
      </c>
      <c r="J98">
        <v>0</v>
      </c>
      <c r="K98">
        <v>20</v>
      </c>
    </row>
    <row r="99" spans="1:11" x14ac:dyDescent="0.35">
      <c r="A99" t="s">
        <v>597</v>
      </c>
      <c r="B99" t="s">
        <v>181</v>
      </c>
      <c r="C99" t="s">
        <v>132</v>
      </c>
      <c r="D99" t="s">
        <v>72</v>
      </c>
      <c r="E99" t="s">
        <v>675</v>
      </c>
      <c r="F99" s="154">
        <v>4.6800000000000006</v>
      </c>
      <c r="G99" s="154">
        <v>4.7</v>
      </c>
      <c r="H99" s="154">
        <v>4.6099999999999994</v>
      </c>
      <c r="I99">
        <v>8</v>
      </c>
      <c r="J99">
        <v>0</v>
      </c>
      <c r="K99">
        <v>20</v>
      </c>
    </row>
    <row r="100" spans="1:11" x14ac:dyDescent="0.35">
      <c r="A100" t="s">
        <v>598</v>
      </c>
      <c r="B100" t="s">
        <v>182</v>
      </c>
      <c r="C100" t="s">
        <v>183</v>
      </c>
      <c r="D100" t="s">
        <v>72</v>
      </c>
      <c r="E100" t="s">
        <v>675</v>
      </c>
      <c r="F100" s="154">
        <v>3.3600000000000003</v>
      </c>
      <c r="G100" s="154">
        <v>4.7</v>
      </c>
      <c r="H100" s="154">
        <v>4.6080000000000005</v>
      </c>
      <c r="I100">
        <v>1</v>
      </c>
      <c r="J100">
        <v>0</v>
      </c>
      <c r="K100">
        <v>20</v>
      </c>
    </row>
    <row r="101" spans="1:11" x14ac:dyDescent="0.35">
      <c r="A101" t="s">
        <v>599</v>
      </c>
      <c r="B101" t="s">
        <v>184</v>
      </c>
      <c r="C101" t="s">
        <v>100</v>
      </c>
      <c r="D101" t="s">
        <v>72</v>
      </c>
      <c r="E101" t="s">
        <v>675</v>
      </c>
      <c r="F101" s="154">
        <v>4.42</v>
      </c>
      <c r="G101" s="154">
        <v>4.3</v>
      </c>
      <c r="H101" s="154">
        <v>4.5199999999999996</v>
      </c>
      <c r="I101">
        <v>0</v>
      </c>
      <c r="J101">
        <v>0</v>
      </c>
      <c r="K101">
        <v>20</v>
      </c>
    </row>
    <row r="102" spans="1:11" x14ac:dyDescent="0.35">
      <c r="A102" t="s">
        <v>600</v>
      </c>
      <c r="B102" t="s">
        <v>185</v>
      </c>
      <c r="C102" t="s">
        <v>102</v>
      </c>
      <c r="D102" t="s">
        <v>72</v>
      </c>
      <c r="E102" t="s">
        <v>675</v>
      </c>
      <c r="F102" s="154">
        <v>4.6399999999999997</v>
      </c>
      <c r="G102" s="154">
        <v>3.9</v>
      </c>
      <c r="H102" s="154">
        <v>4.82</v>
      </c>
      <c r="I102">
        <v>1</v>
      </c>
      <c r="J102">
        <v>0</v>
      </c>
      <c r="K102">
        <v>20</v>
      </c>
    </row>
    <row r="103" spans="1:11" x14ac:dyDescent="0.35">
      <c r="A103" t="s">
        <v>601</v>
      </c>
      <c r="B103" t="s">
        <v>186</v>
      </c>
      <c r="C103" t="s">
        <v>187</v>
      </c>
      <c r="D103" t="s">
        <v>72</v>
      </c>
      <c r="E103" t="s">
        <v>675</v>
      </c>
      <c r="F103" s="154">
        <v>4.6399999999999997</v>
      </c>
      <c r="G103" s="154">
        <v>3.8</v>
      </c>
      <c r="H103" s="154">
        <v>4.6399999999999997</v>
      </c>
      <c r="I103">
        <v>3</v>
      </c>
      <c r="J103">
        <v>1</v>
      </c>
      <c r="K103">
        <v>20</v>
      </c>
    </row>
    <row r="104" spans="1:11" x14ac:dyDescent="0.35">
      <c r="A104" t="s">
        <v>602</v>
      </c>
      <c r="B104" t="s">
        <v>188</v>
      </c>
      <c r="C104" t="s">
        <v>189</v>
      </c>
      <c r="D104" t="s">
        <v>72</v>
      </c>
      <c r="E104" t="s">
        <v>675</v>
      </c>
      <c r="F104" s="154">
        <v>4.7</v>
      </c>
      <c r="G104" s="154">
        <v>4.9000000000000004</v>
      </c>
      <c r="H104" s="154">
        <v>4.5380000000000003</v>
      </c>
      <c r="I104">
        <v>4</v>
      </c>
      <c r="J104">
        <v>0</v>
      </c>
      <c r="K104">
        <v>20</v>
      </c>
    </row>
    <row r="105" spans="1:11" x14ac:dyDescent="0.35">
      <c r="A105" t="s">
        <v>603</v>
      </c>
      <c r="B105" t="s">
        <v>190</v>
      </c>
      <c r="C105" t="s">
        <v>191</v>
      </c>
      <c r="D105" t="s">
        <v>72</v>
      </c>
      <c r="E105" t="s">
        <v>675</v>
      </c>
      <c r="F105" s="154">
        <v>4.46</v>
      </c>
      <c r="G105" s="154">
        <v>4</v>
      </c>
      <c r="H105" s="154">
        <v>4.5600000000000005</v>
      </c>
      <c r="I105">
        <v>1</v>
      </c>
      <c r="J105">
        <v>0</v>
      </c>
      <c r="K105">
        <v>20</v>
      </c>
    </row>
    <row r="106" spans="1:11" x14ac:dyDescent="0.35">
      <c r="A106" t="s">
        <v>604</v>
      </c>
      <c r="B106" t="s">
        <v>192</v>
      </c>
      <c r="C106" t="s">
        <v>193</v>
      </c>
      <c r="D106" t="s">
        <v>72</v>
      </c>
      <c r="E106" t="s">
        <v>675</v>
      </c>
      <c r="F106" s="154">
        <v>4.7</v>
      </c>
      <c r="G106" s="154">
        <v>4.7</v>
      </c>
      <c r="H106" s="154">
        <v>4.79</v>
      </c>
      <c r="I106">
        <v>1</v>
      </c>
      <c r="J106">
        <v>0</v>
      </c>
      <c r="K106">
        <v>20</v>
      </c>
    </row>
    <row r="107" spans="1:11" x14ac:dyDescent="0.35">
      <c r="A107">
        <v>145662239</v>
      </c>
      <c r="B107" t="s">
        <v>194</v>
      </c>
      <c r="C107" t="s">
        <v>195</v>
      </c>
      <c r="D107" t="s">
        <v>72</v>
      </c>
      <c r="E107" t="s">
        <v>675</v>
      </c>
      <c r="F107" s="154">
        <v>4.54</v>
      </c>
      <c r="G107" s="154">
        <v>4.5999999999999996</v>
      </c>
      <c r="H107" s="154">
        <v>4.71</v>
      </c>
      <c r="I107">
        <v>1</v>
      </c>
      <c r="J107">
        <v>0</v>
      </c>
      <c r="K107">
        <v>20</v>
      </c>
    </row>
    <row r="108" spans="1:11" x14ac:dyDescent="0.35">
      <c r="A108" t="s">
        <v>605</v>
      </c>
      <c r="B108" t="s">
        <v>196</v>
      </c>
      <c r="C108" t="s">
        <v>117</v>
      </c>
      <c r="D108" t="s">
        <v>72</v>
      </c>
      <c r="E108" t="s">
        <v>675</v>
      </c>
      <c r="F108" s="154">
        <v>4.9000000000000004</v>
      </c>
      <c r="G108" s="154">
        <v>4</v>
      </c>
      <c r="H108" s="154">
        <v>4.6180000000000003</v>
      </c>
      <c r="I108">
        <v>3</v>
      </c>
      <c r="J108">
        <v>0</v>
      </c>
      <c r="K108">
        <v>20</v>
      </c>
    </row>
    <row r="109" spans="1:11" x14ac:dyDescent="0.35">
      <c r="A109" t="s">
        <v>606</v>
      </c>
      <c r="B109" t="s">
        <v>197</v>
      </c>
      <c r="C109" t="s">
        <v>198</v>
      </c>
      <c r="D109" t="s">
        <v>72</v>
      </c>
      <c r="E109" t="s">
        <v>675</v>
      </c>
      <c r="F109" s="154">
        <v>4</v>
      </c>
      <c r="G109" s="154">
        <v>4.3</v>
      </c>
      <c r="H109" s="154">
        <v>4.33</v>
      </c>
      <c r="I109">
        <v>6</v>
      </c>
      <c r="J109">
        <v>0</v>
      </c>
      <c r="K109">
        <v>20</v>
      </c>
    </row>
    <row r="110" spans="1:11" x14ac:dyDescent="0.35">
      <c r="A110" t="s">
        <v>607</v>
      </c>
      <c r="B110" t="s">
        <v>199</v>
      </c>
      <c r="C110" t="s">
        <v>119</v>
      </c>
      <c r="D110" t="s">
        <v>72</v>
      </c>
      <c r="E110" t="s">
        <v>675</v>
      </c>
      <c r="F110" s="154">
        <v>4.5200000000000005</v>
      </c>
      <c r="G110" s="154">
        <v>4.5999999999999996</v>
      </c>
      <c r="H110" s="154">
        <v>4.2480000000000002</v>
      </c>
      <c r="I110">
        <v>6</v>
      </c>
      <c r="J110">
        <v>0</v>
      </c>
      <c r="K110">
        <v>20</v>
      </c>
    </row>
    <row r="111" spans="1:11" x14ac:dyDescent="0.35">
      <c r="A111" t="s">
        <v>608</v>
      </c>
      <c r="B111" t="s">
        <v>200</v>
      </c>
      <c r="C111" t="s">
        <v>201</v>
      </c>
      <c r="D111" t="s">
        <v>72</v>
      </c>
      <c r="E111" t="s">
        <v>675</v>
      </c>
      <c r="F111" s="154">
        <v>4.3600000000000003</v>
      </c>
      <c r="G111" s="154">
        <v>4.5999999999999996</v>
      </c>
      <c r="H111" s="154">
        <v>4.7</v>
      </c>
      <c r="I111">
        <v>0</v>
      </c>
      <c r="J111">
        <v>0</v>
      </c>
      <c r="K111">
        <v>20</v>
      </c>
    </row>
    <row r="112" spans="1:11" x14ac:dyDescent="0.35">
      <c r="A112" t="s">
        <v>609</v>
      </c>
      <c r="B112" t="s">
        <v>202</v>
      </c>
      <c r="C112" t="s">
        <v>203</v>
      </c>
      <c r="D112" t="s">
        <v>72</v>
      </c>
      <c r="E112" t="s">
        <v>675</v>
      </c>
      <c r="F112" s="154">
        <v>4.54</v>
      </c>
      <c r="G112" s="154">
        <v>4.5</v>
      </c>
      <c r="H112" s="154">
        <v>4.68</v>
      </c>
      <c r="I112">
        <v>0</v>
      </c>
      <c r="J112">
        <v>0</v>
      </c>
      <c r="K112">
        <v>20</v>
      </c>
    </row>
    <row r="113" spans="1:11" x14ac:dyDescent="0.35">
      <c r="A113" t="s">
        <v>610</v>
      </c>
      <c r="B113" t="s">
        <v>204</v>
      </c>
      <c r="C113" t="s">
        <v>203</v>
      </c>
      <c r="D113" t="s">
        <v>72</v>
      </c>
      <c r="E113" t="s">
        <v>675</v>
      </c>
      <c r="F113" s="154">
        <v>4.42</v>
      </c>
      <c r="G113" s="154">
        <v>4.7</v>
      </c>
      <c r="H113" s="154">
        <v>4.62</v>
      </c>
      <c r="I113">
        <v>2</v>
      </c>
      <c r="J113">
        <v>0</v>
      </c>
      <c r="K113">
        <v>20</v>
      </c>
    </row>
    <row r="114" spans="1:11" x14ac:dyDescent="0.35">
      <c r="A114" t="s">
        <v>611</v>
      </c>
      <c r="B114" t="s">
        <v>14</v>
      </c>
      <c r="C114" t="s">
        <v>51</v>
      </c>
      <c r="D114" t="s">
        <v>72</v>
      </c>
      <c r="E114" t="s">
        <v>675</v>
      </c>
      <c r="F114" s="154">
        <v>4.5</v>
      </c>
      <c r="G114" s="154">
        <v>4.8</v>
      </c>
      <c r="H114" s="154">
        <v>4.8680000000000003</v>
      </c>
      <c r="I114">
        <v>3</v>
      </c>
      <c r="J114">
        <v>0</v>
      </c>
      <c r="K114">
        <v>20</v>
      </c>
    </row>
    <row r="115" spans="1:11" x14ac:dyDescent="0.35">
      <c r="A115" t="s">
        <v>612</v>
      </c>
      <c r="B115" t="s">
        <v>205</v>
      </c>
      <c r="C115" t="s">
        <v>51</v>
      </c>
      <c r="D115" t="s">
        <v>72</v>
      </c>
      <c r="E115" t="s">
        <v>675</v>
      </c>
      <c r="F115" s="154">
        <v>4.5600000000000005</v>
      </c>
      <c r="G115" s="154">
        <v>3.2</v>
      </c>
      <c r="H115" s="154">
        <v>4.5</v>
      </c>
      <c r="I115">
        <v>6</v>
      </c>
      <c r="J115">
        <v>0</v>
      </c>
      <c r="K115">
        <v>20</v>
      </c>
    </row>
    <row r="116" spans="1:11" x14ac:dyDescent="0.35">
      <c r="A116" t="s">
        <v>613</v>
      </c>
      <c r="B116" t="s">
        <v>206</v>
      </c>
      <c r="C116" t="s">
        <v>53</v>
      </c>
      <c r="D116" t="s">
        <v>72</v>
      </c>
      <c r="E116" t="s">
        <v>675</v>
      </c>
      <c r="F116" s="154">
        <v>4.54</v>
      </c>
      <c r="G116" s="154">
        <v>4</v>
      </c>
      <c r="H116" s="154">
        <v>4.7779999999999996</v>
      </c>
      <c r="I116">
        <v>2</v>
      </c>
      <c r="J116">
        <v>0</v>
      </c>
      <c r="K116">
        <v>20</v>
      </c>
    </row>
    <row r="117" spans="1:11" x14ac:dyDescent="0.35">
      <c r="A117" t="s">
        <v>614</v>
      </c>
      <c r="B117" t="s">
        <v>207</v>
      </c>
      <c r="C117" t="s">
        <v>53</v>
      </c>
      <c r="D117" t="s">
        <v>72</v>
      </c>
      <c r="E117" t="s">
        <v>675</v>
      </c>
      <c r="F117" s="154">
        <v>4.7</v>
      </c>
      <c r="G117" s="154">
        <v>4.5</v>
      </c>
      <c r="H117" s="154">
        <v>4.67</v>
      </c>
      <c r="I117">
        <v>7</v>
      </c>
      <c r="J117">
        <v>0</v>
      </c>
      <c r="K117">
        <v>20</v>
      </c>
    </row>
    <row r="118" spans="1:11" x14ac:dyDescent="0.35">
      <c r="A118" t="s">
        <v>615</v>
      </c>
      <c r="B118" t="s">
        <v>208</v>
      </c>
      <c r="C118" t="s">
        <v>209</v>
      </c>
      <c r="D118" t="s">
        <v>72</v>
      </c>
      <c r="E118" t="s">
        <v>675</v>
      </c>
      <c r="F118" s="154">
        <v>4.5999999999999996</v>
      </c>
      <c r="G118" s="154">
        <v>4.7</v>
      </c>
      <c r="H118" s="154">
        <v>4.57</v>
      </c>
      <c r="I118">
        <v>2</v>
      </c>
      <c r="J118">
        <v>0</v>
      </c>
      <c r="K118">
        <v>20</v>
      </c>
    </row>
    <row r="119" spans="1:11" x14ac:dyDescent="0.35">
      <c r="A119" t="s">
        <v>616</v>
      </c>
      <c r="B119" t="s">
        <v>210</v>
      </c>
      <c r="C119" t="s">
        <v>163</v>
      </c>
      <c r="D119" t="s">
        <v>72</v>
      </c>
      <c r="E119" t="s">
        <v>675</v>
      </c>
      <c r="F119" s="154">
        <v>4.58</v>
      </c>
      <c r="G119" s="154">
        <v>4.4000000000000004</v>
      </c>
      <c r="H119" s="154">
        <v>4.76</v>
      </c>
      <c r="I119">
        <v>0</v>
      </c>
      <c r="J119">
        <v>0</v>
      </c>
      <c r="K119">
        <v>20</v>
      </c>
    </row>
    <row r="120" spans="1:11" x14ac:dyDescent="0.35">
      <c r="A120" t="s">
        <v>617</v>
      </c>
      <c r="B120" t="s">
        <v>211</v>
      </c>
      <c r="C120" t="s">
        <v>123</v>
      </c>
      <c r="D120" t="s">
        <v>72</v>
      </c>
      <c r="E120" t="s">
        <v>675</v>
      </c>
      <c r="F120" s="154">
        <v>4.7</v>
      </c>
      <c r="G120" s="154">
        <v>4.3</v>
      </c>
      <c r="H120" s="154">
        <v>4.67</v>
      </c>
      <c r="I120">
        <v>7</v>
      </c>
      <c r="J120">
        <v>2</v>
      </c>
      <c r="K120">
        <v>20</v>
      </c>
    </row>
    <row r="121" spans="1:11" x14ac:dyDescent="0.35">
      <c r="A121" t="s">
        <v>618</v>
      </c>
      <c r="B121" t="s">
        <v>212</v>
      </c>
      <c r="C121" t="s">
        <v>213</v>
      </c>
      <c r="D121" t="s">
        <v>72</v>
      </c>
      <c r="E121" t="s">
        <v>675</v>
      </c>
      <c r="F121" s="154">
        <v>4.7</v>
      </c>
      <c r="G121" s="154">
        <v>4</v>
      </c>
      <c r="H121" s="154">
        <v>4.8499999999999996</v>
      </c>
      <c r="I121">
        <v>2</v>
      </c>
      <c r="J121">
        <v>0</v>
      </c>
      <c r="K121">
        <v>20</v>
      </c>
    </row>
    <row r="122" spans="1:11" x14ac:dyDescent="0.35">
      <c r="A122" t="s">
        <v>619</v>
      </c>
      <c r="B122" t="s">
        <v>214</v>
      </c>
      <c r="C122" t="s">
        <v>215</v>
      </c>
      <c r="D122" t="s">
        <v>72</v>
      </c>
      <c r="E122" t="s">
        <v>675</v>
      </c>
      <c r="F122" s="154">
        <v>4.5600000000000005</v>
      </c>
      <c r="G122" s="154">
        <v>4.5</v>
      </c>
      <c r="H122" s="154">
        <v>4.68</v>
      </c>
      <c r="I122">
        <v>2</v>
      </c>
      <c r="J122">
        <v>0</v>
      </c>
      <c r="K122">
        <v>20</v>
      </c>
    </row>
    <row r="123" spans="1:11" x14ac:dyDescent="0.35">
      <c r="A123" t="s">
        <v>620</v>
      </c>
      <c r="B123" t="s">
        <v>216</v>
      </c>
      <c r="C123" t="s">
        <v>215</v>
      </c>
      <c r="D123" t="s">
        <v>72</v>
      </c>
      <c r="E123" t="s">
        <v>675</v>
      </c>
      <c r="F123" s="154">
        <v>4.6399999999999997</v>
      </c>
      <c r="G123" s="154">
        <v>4.7</v>
      </c>
      <c r="H123" s="154">
        <v>4.8499999999999996</v>
      </c>
      <c r="I123">
        <v>1</v>
      </c>
      <c r="J123">
        <v>0</v>
      </c>
      <c r="K123">
        <v>20</v>
      </c>
    </row>
    <row r="124" spans="1:11" x14ac:dyDescent="0.35">
      <c r="A124" t="s">
        <v>621</v>
      </c>
      <c r="B124" t="s">
        <v>217</v>
      </c>
      <c r="C124" t="s">
        <v>127</v>
      </c>
      <c r="D124" t="s">
        <v>13</v>
      </c>
      <c r="E124" t="s">
        <v>676</v>
      </c>
      <c r="F124" s="154">
        <v>4.8666666666666663</v>
      </c>
      <c r="G124" s="154">
        <v>4.9000000000000004</v>
      </c>
      <c r="H124" s="154">
        <v>4.9000000000000004</v>
      </c>
      <c r="I124">
        <v>1</v>
      </c>
      <c r="J124">
        <v>1</v>
      </c>
      <c r="K124">
        <v>20</v>
      </c>
    </row>
    <row r="125" spans="1:11" x14ac:dyDescent="0.35">
      <c r="A125" t="s">
        <v>622</v>
      </c>
      <c r="B125" t="s">
        <v>218</v>
      </c>
      <c r="C125" t="s">
        <v>219</v>
      </c>
      <c r="D125" t="s">
        <v>13</v>
      </c>
      <c r="E125" t="s">
        <v>676</v>
      </c>
      <c r="F125" s="154">
        <v>4.7333333333333334</v>
      </c>
      <c r="G125" s="154">
        <v>4.3</v>
      </c>
      <c r="H125" s="154">
        <v>4.3</v>
      </c>
      <c r="I125">
        <v>3</v>
      </c>
      <c r="J125">
        <v>1</v>
      </c>
      <c r="K125">
        <v>20</v>
      </c>
    </row>
    <row r="126" spans="1:11" x14ac:dyDescent="0.35">
      <c r="A126" t="s">
        <v>623</v>
      </c>
      <c r="B126" t="s">
        <v>220</v>
      </c>
      <c r="C126" t="s">
        <v>221</v>
      </c>
      <c r="D126" t="s">
        <v>13</v>
      </c>
      <c r="E126" t="s">
        <v>676</v>
      </c>
      <c r="F126" s="154">
        <v>4.8666666666666663</v>
      </c>
      <c r="G126" s="154">
        <v>4.5999999999999996</v>
      </c>
      <c r="H126" s="154">
        <v>4.5999999999999996</v>
      </c>
      <c r="I126">
        <v>7</v>
      </c>
      <c r="J126">
        <v>2</v>
      </c>
      <c r="K126">
        <v>20</v>
      </c>
    </row>
    <row r="127" spans="1:11" x14ac:dyDescent="0.35">
      <c r="A127" t="s">
        <v>624</v>
      </c>
      <c r="B127" t="s">
        <v>222</v>
      </c>
      <c r="C127" t="s">
        <v>223</v>
      </c>
      <c r="D127" t="s">
        <v>13</v>
      </c>
      <c r="E127" t="s">
        <v>676</v>
      </c>
      <c r="F127" s="154">
        <v>3.5333333333333332</v>
      </c>
      <c r="G127" s="154">
        <v>4.0999999999999996</v>
      </c>
      <c r="H127" s="154">
        <v>4.0999999999999996</v>
      </c>
      <c r="I127">
        <v>10</v>
      </c>
      <c r="J127">
        <v>8</v>
      </c>
      <c r="K127">
        <v>20</v>
      </c>
    </row>
    <row r="128" spans="1:11" x14ac:dyDescent="0.35">
      <c r="A128" t="s">
        <v>625</v>
      </c>
      <c r="B128" t="s">
        <v>185</v>
      </c>
      <c r="C128" t="s">
        <v>224</v>
      </c>
      <c r="D128" t="s">
        <v>13</v>
      </c>
      <c r="E128" t="s">
        <v>676</v>
      </c>
      <c r="F128" s="154">
        <v>4.5</v>
      </c>
      <c r="G128" s="154">
        <v>3.9</v>
      </c>
      <c r="H128" s="154">
        <v>3.9</v>
      </c>
      <c r="I128">
        <v>10</v>
      </c>
      <c r="J128">
        <v>0</v>
      </c>
      <c r="K128" t="s">
        <v>426</v>
      </c>
    </row>
    <row r="129" spans="1:11" x14ac:dyDescent="0.35">
      <c r="A129" t="s">
        <v>626</v>
      </c>
      <c r="B129" t="s">
        <v>16</v>
      </c>
      <c r="C129" t="s">
        <v>225</v>
      </c>
      <c r="D129" t="s">
        <v>13</v>
      </c>
      <c r="E129" t="s">
        <v>676</v>
      </c>
      <c r="F129" s="154">
        <v>4.6000000000000005</v>
      </c>
      <c r="G129" s="154">
        <v>4.9000000000000004</v>
      </c>
      <c r="H129" s="154">
        <v>4.9000000000000004</v>
      </c>
      <c r="I129">
        <v>5</v>
      </c>
      <c r="J129">
        <v>17</v>
      </c>
      <c r="K129">
        <v>20</v>
      </c>
    </row>
    <row r="130" spans="1:11" x14ac:dyDescent="0.35">
      <c r="A130" t="s">
        <v>627</v>
      </c>
      <c r="B130" t="s">
        <v>20</v>
      </c>
      <c r="C130" t="s">
        <v>134</v>
      </c>
      <c r="D130" t="s">
        <v>13</v>
      </c>
      <c r="E130" t="s">
        <v>676</v>
      </c>
      <c r="F130" s="154">
        <v>4.5333333333333332</v>
      </c>
      <c r="G130" s="154">
        <v>4.7</v>
      </c>
      <c r="H130" s="154">
        <v>4.7</v>
      </c>
      <c r="I130">
        <v>1</v>
      </c>
      <c r="J130">
        <v>2</v>
      </c>
      <c r="K130">
        <v>20</v>
      </c>
    </row>
    <row r="131" spans="1:11" x14ac:dyDescent="0.35">
      <c r="A131" t="s">
        <v>628</v>
      </c>
      <c r="B131" t="s">
        <v>226</v>
      </c>
      <c r="C131" t="s">
        <v>227</v>
      </c>
      <c r="D131" t="s">
        <v>13</v>
      </c>
      <c r="E131" t="s">
        <v>676</v>
      </c>
      <c r="F131" s="154">
        <v>4.8</v>
      </c>
      <c r="G131" s="154">
        <v>4.7</v>
      </c>
      <c r="H131" s="154">
        <v>4.7</v>
      </c>
      <c r="I131">
        <v>1</v>
      </c>
      <c r="J131">
        <v>0</v>
      </c>
      <c r="K131">
        <v>40</v>
      </c>
    </row>
    <row r="132" spans="1:11" x14ac:dyDescent="0.35">
      <c r="A132" t="s">
        <v>629</v>
      </c>
      <c r="B132" t="s">
        <v>228</v>
      </c>
      <c r="C132" t="s">
        <v>229</v>
      </c>
      <c r="D132" t="s">
        <v>13</v>
      </c>
      <c r="E132" t="s">
        <v>676</v>
      </c>
      <c r="F132" s="154">
        <v>3.6666666666666665</v>
      </c>
      <c r="G132" s="154">
        <v>4</v>
      </c>
      <c r="H132" s="154">
        <v>4</v>
      </c>
      <c r="I132">
        <v>8</v>
      </c>
      <c r="J132">
        <v>10</v>
      </c>
      <c r="K132">
        <v>20</v>
      </c>
    </row>
    <row r="133" spans="1:11" x14ac:dyDescent="0.35">
      <c r="A133" t="s">
        <v>630</v>
      </c>
      <c r="B133" t="s">
        <v>230</v>
      </c>
      <c r="C133" t="s">
        <v>231</v>
      </c>
      <c r="D133" t="s">
        <v>13</v>
      </c>
      <c r="E133" t="s">
        <v>676</v>
      </c>
      <c r="F133" s="154">
        <v>5</v>
      </c>
      <c r="G133" s="154">
        <v>4.9000000000000004</v>
      </c>
      <c r="H133" s="154">
        <v>4.9000000000000004</v>
      </c>
      <c r="I133">
        <v>1</v>
      </c>
      <c r="J133">
        <v>0</v>
      </c>
      <c r="K133" t="s">
        <v>426</v>
      </c>
    </row>
    <row r="134" spans="1:11" x14ac:dyDescent="0.35">
      <c r="A134" t="s">
        <v>631</v>
      </c>
      <c r="B134" t="s">
        <v>151</v>
      </c>
      <c r="C134" t="s">
        <v>232</v>
      </c>
      <c r="D134" t="s">
        <v>13</v>
      </c>
      <c r="E134" t="s">
        <v>676</v>
      </c>
      <c r="F134" s="154">
        <v>4.666666666666667</v>
      </c>
      <c r="G134" s="154">
        <v>4.5</v>
      </c>
      <c r="H134" s="154">
        <v>4.5</v>
      </c>
      <c r="I134">
        <v>6</v>
      </c>
      <c r="J134">
        <v>1</v>
      </c>
      <c r="K134">
        <v>20</v>
      </c>
    </row>
    <row r="135" spans="1:11" x14ac:dyDescent="0.35">
      <c r="A135" t="s">
        <v>632</v>
      </c>
      <c r="B135" t="s">
        <v>233</v>
      </c>
      <c r="C135" t="s">
        <v>102</v>
      </c>
      <c r="D135" t="s">
        <v>13</v>
      </c>
      <c r="E135" t="s">
        <v>676</v>
      </c>
      <c r="F135" s="154">
        <v>4.7333333333333334</v>
      </c>
      <c r="G135" s="154">
        <v>4.3</v>
      </c>
      <c r="H135" s="154">
        <v>4.3</v>
      </c>
      <c r="I135">
        <v>8</v>
      </c>
      <c r="J135">
        <v>0</v>
      </c>
      <c r="K135">
        <v>20</v>
      </c>
    </row>
    <row r="136" spans="1:11" x14ac:dyDescent="0.35">
      <c r="A136" t="s">
        <v>633</v>
      </c>
      <c r="B136" t="s">
        <v>234</v>
      </c>
      <c r="C136" t="s">
        <v>33</v>
      </c>
      <c r="D136" t="s">
        <v>13</v>
      </c>
      <c r="E136" t="s">
        <v>676</v>
      </c>
      <c r="F136" s="154">
        <v>4.7333333333333334</v>
      </c>
      <c r="G136" s="154">
        <v>4.5999999999999996</v>
      </c>
      <c r="H136" s="154">
        <v>4.5999999999999996</v>
      </c>
      <c r="I136">
        <v>7</v>
      </c>
      <c r="J136">
        <v>0</v>
      </c>
      <c r="K136">
        <v>20</v>
      </c>
    </row>
    <row r="137" spans="1:11" x14ac:dyDescent="0.35">
      <c r="A137" t="s">
        <v>634</v>
      </c>
      <c r="B137" t="s">
        <v>185</v>
      </c>
      <c r="C137" t="s">
        <v>235</v>
      </c>
      <c r="D137" t="s">
        <v>13</v>
      </c>
      <c r="E137" t="s">
        <v>676</v>
      </c>
      <c r="F137" s="154">
        <v>4.8666666666666663</v>
      </c>
      <c r="G137" s="154">
        <v>4.7</v>
      </c>
      <c r="H137" s="154">
        <v>4.7</v>
      </c>
      <c r="I137">
        <v>0</v>
      </c>
      <c r="J137">
        <v>0</v>
      </c>
      <c r="K137">
        <v>20</v>
      </c>
    </row>
    <row r="138" spans="1:11" x14ac:dyDescent="0.35">
      <c r="A138" t="s">
        <v>635</v>
      </c>
      <c r="B138" t="s">
        <v>236</v>
      </c>
      <c r="C138" t="s">
        <v>39</v>
      </c>
      <c r="D138" t="s">
        <v>13</v>
      </c>
      <c r="E138" t="s">
        <v>676</v>
      </c>
      <c r="F138" s="154">
        <v>4.8666666666666663</v>
      </c>
      <c r="G138" s="154">
        <v>4</v>
      </c>
      <c r="H138" s="154">
        <v>4</v>
      </c>
      <c r="I138">
        <v>10</v>
      </c>
      <c r="J138">
        <v>1</v>
      </c>
      <c r="K138">
        <v>20</v>
      </c>
    </row>
    <row r="139" spans="1:11" x14ac:dyDescent="0.35">
      <c r="A139">
        <v>99665344</v>
      </c>
      <c r="B139" t="s">
        <v>237</v>
      </c>
      <c r="C139" t="s">
        <v>238</v>
      </c>
      <c r="D139" t="s">
        <v>13</v>
      </c>
      <c r="E139" t="s">
        <v>676</v>
      </c>
      <c r="F139" s="154">
        <v>3.8666666666666667</v>
      </c>
      <c r="G139" s="154">
        <v>4.2</v>
      </c>
      <c r="H139" s="154">
        <v>4.2</v>
      </c>
      <c r="I139">
        <v>2</v>
      </c>
      <c r="J139">
        <v>3</v>
      </c>
      <c r="K139">
        <v>20</v>
      </c>
    </row>
    <row r="140" spans="1:11" x14ac:dyDescent="0.35">
      <c r="A140" t="s">
        <v>636</v>
      </c>
      <c r="B140" t="s">
        <v>239</v>
      </c>
      <c r="C140" t="s">
        <v>240</v>
      </c>
      <c r="D140" t="s">
        <v>13</v>
      </c>
      <c r="E140" t="s">
        <v>676</v>
      </c>
      <c r="F140" s="154">
        <v>5</v>
      </c>
      <c r="G140" s="154">
        <v>4.5999999999999996</v>
      </c>
      <c r="H140" s="154">
        <v>4.5999999999999996</v>
      </c>
      <c r="I140">
        <v>3</v>
      </c>
      <c r="J140">
        <v>0</v>
      </c>
      <c r="K140">
        <v>20</v>
      </c>
    </row>
    <row r="141" spans="1:11" x14ac:dyDescent="0.35">
      <c r="A141" t="s">
        <v>637</v>
      </c>
      <c r="B141" t="s">
        <v>63</v>
      </c>
      <c r="C141" t="s">
        <v>241</v>
      </c>
      <c r="D141" t="s">
        <v>13</v>
      </c>
      <c r="E141" t="s">
        <v>676</v>
      </c>
      <c r="F141" s="154">
        <v>4.8666666666666663</v>
      </c>
      <c r="G141" s="154">
        <v>4.5</v>
      </c>
      <c r="H141" s="154">
        <v>4.5</v>
      </c>
      <c r="I141">
        <v>5</v>
      </c>
      <c r="J141">
        <v>0</v>
      </c>
      <c r="K141">
        <v>20</v>
      </c>
    </row>
    <row r="142" spans="1:11" x14ac:dyDescent="0.35">
      <c r="A142" t="s">
        <v>638</v>
      </c>
      <c r="B142" t="s">
        <v>242</v>
      </c>
      <c r="C142" t="s">
        <v>243</v>
      </c>
      <c r="D142" t="s">
        <v>13</v>
      </c>
      <c r="E142" t="s">
        <v>676</v>
      </c>
      <c r="F142" s="154">
        <v>4.8666666666666663</v>
      </c>
      <c r="G142" s="154">
        <v>4.8</v>
      </c>
      <c r="H142" s="154">
        <v>4.8</v>
      </c>
      <c r="I142">
        <v>0</v>
      </c>
      <c r="J142">
        <v>0</v>
      </c>
      <c r="K142" t="s">
        <v>426</v>
      </c>
    </row>
    <row r="143" spans="1:11" x14ac:dyDescent="0.35">
      <c r="A143" t="s">
        <v>639</v>
      </c>
      <c r="B143" t="s">
        <v>197</v>
      </c>
      <c r="C143" t="s">
        <v>117</v>
      </c>
      <c r="D143" t="s">
        <v>13</v>
      </c>
      <c r="E143" t="s">
        <v>676</v>
      </c>
      <c r="F143" s="154">
        <v>4.666666666666667</v>
      </c>
      <c r="G143" s="154">
        <v>4.2</v>
      </c>
      <c r="H143" s="154">
        <v>4.2</v>
      </c>
      <c r="I143">
        <v>8</v>
      </c>
      <c r="J143">
        <v>10</v>
      </c>
      <c r="K143">
        <v>20</v>
      </c>
    </row>
    <row r="144" spans="1:11" x14ac:dyDescent="0.35">
      <c r="A144" t="s">
        <v>640</v>
      </c>
      <c r="B144" t="s">
        <v>32</v>
      </c>
      <c r="C144" t="s">
        <v>244</v>
      </c>
      <c r="D144" t="s">
        <v>13</v>
      </c>
      <c r="E144" t="s">
        <v>676</v>
      </c>
      <c r="F144" s="154">
        <v>5</v>
      </c>
      <c r="G144" s="154">
        <v>4.5999999999999996</v>
      </c>
      <c r="H144" s="154">
        <v>4.5999999999999996</v>
      </c>
      <c r="I144">
        <v>0</v>
      </c>
      <c r="J144">
        <v>0</v>
      </c>
      <c r="K144" t="s">
        <v>426</v>
      </c>
    </row>
    <row r="145" spans="1:11" x14ac:dyDescent="0.35">
      <c r="A145" t="s">
        <v>641</v>
      </c>
      <c r="B145" t="s">
        <v>245</v>
      </c>
      <c r="C145" t="s">
        <v>53</v>
      </c>
      <c r="D145" t="s">
        <v>13</v>
      </c>
      <c r="E145" t="s">
        <v>676</v>
      </c>
      <c r="F145" s="154">
        <v>4.8</v>
      </c>
      <c r="G145" s="154">
        <v>4.7</v>
      </c>
      <c r="H145" s="154">
        <v>4.7</v>
      </c>
      <c r="I145">
        <v>0</v>
      </c>
      <c r="J145">
        <v>0</v>
      </c>
      <c r="K145">
        <v>20</v>
      </c>
    </row>
    <row r="146" spans="1:11" x14ac:dyDescent="0.35">
      <c r="A146" t="s">
        <v>642</v>
      </c>
      <c r="B146" t="s">
        <v>246</v>
      </c>
      <c r="C146" t="s">
        <v>53</v>
      </c>
      <c r="D146" t="s">
        <v>13</v>
      </c>
      <c r="E146" t="s">
        <v>676</v>
      </c>
      <c r="F146" s="154">
        <v>4.7333333333333334</v>
      </c>
      <c r="G146" s="154">
        <v>4.4000000000000004</v>
      </c>
      <c r="H146" s="154">
        <v>4.4000000000000004</v>
      </c>
      <c r="I146">
        <v>2</v>
      </c>
      <c r="J146">
        <v>0</v>
      </c>
      <c r="K146">
        <v>20</v>
      </c>
    </row>
    <row r="147" spans="1:11" x14ac:dyDescent="0.35">
      <c r="A147" t="s">
        <v>643</v>
      </c>
      <c r="B147" t="s">
        <v>247</v>
      </c>
      <c r="C147" t="s">
        <v>57</v>
      </c>
      <c r="D147" t="s">
        <v>13</v>
      </c>
      <c r="E147" t="s">
        <v>676</v>
      </c>
      <c r="F147" s="154">
        <v>4.333333333333333</v>
      </c>
      <c r="G147" s="154">
        <v>3.8</v>
      </c>
      <c r="H147" s="154">
        <v>3.8</v>
      </c>
      <c r="I147">
        <v>6</v>
      </c>
      <c r="J147">
        <v>6</v>
      </c>
      <c r="K147">
        <v>20</v>
      </c>
    </row>
    <row r="148" spans="1:11" x14ac:dyDescent="0.35">
      <c r="A148" t="s">
        <v>644</v>
      </c>
      <c r="B148" t="s">
        <v>184</v>
      </c>
      <c r="C148" t="s">
        <v>163</v>
      </c>
      <c r="D148" t="s">
        <v>13</v>
      </c>
      <c r="E148" t="s">
        <v>676</v>
      </c>
      <c r="F148" s="154">
        <v>4.2666666666666666</v>
      </c>
      <c r="G148" s="154">
        <v>4.5</v>
      </c>
      <c r="H148" s="154">
        <v>4.5</v>
      </c>
      <c r="I148">
        <v>3</v>
      </c>
      <c r="J148">
        <v>0</v>
      </c>
      <c r="K148">
        <v>20</v>
      </c>
    </row>
    <row r="149" spans="1:11" x14ac:dyDescent="0.35">
      <c r="A149" t="s">
        <v>645</v>
      </c>
      <c r="B149" t="s">
        <v>248</v>
      </c>
      <c r="C149" t="s">
        <v>163</v>
      </c>
      <c r="D149" t="s">
        <v>13</v>
      </c>
      <c r="E149" t="s">
        <v>676</v>
      </c>
      <c r="F149" s="154">
        <v>5</v>
      </c>
      <c r="G149" s="154">
        <v>4.5999999999999996</v>
      </c>
      <c r="H149" s="154">
        <v>4.5999999999999996</v>
      </c>
      <c r="I149">
        <v>0</v>
      </c>
      <c r="J149">
        <v>0</v>
      </c>
      <c r="K149">
        <v>20</v>
      </c>
    </row>
    <row r="150" spans="1:11" x14ac:dyDescent="0.35">
      <c r="A150" t="s">
        <v>646</v>
      </c>
      <c r="B150" t="s">
        <v>54</v>
      </c>
      <c r="C150" t="s">
        <v>125</v>
      </c>
      <c r="D150" t="s">
        <v>13</v>
      </c>
      <c r="E150" t="s">
        <v>676</v>
      </c>
      <c r="F150" s="154">
        <v>4.6000000000000005</v>
      </c>
      <c r="G150" s="154">
        <v>4.7</v>
      </c>
      <c r="H150" s="154">
        <v>4.7</v>
      </c>
      <c r="I150">
        <v>8</v>
      </c>
      <c r="J150">
        <v>2</v>
      </c>
      <c r="K150">
        <v>20</v>
      </c>
    </row>
    <row r="151" spans="1:11" x14ac:dyDescent="0.35">
      <c r="A151" t="s">
        <v>647</v>
      </c>
      <c r="B151" t="s">
        <v>249</v>
      </c>
      <c r="C151" t="s">
        <v>250</v>
      </c>
      <c r="D151" t="s">
        <v>13</v>
      </c>
      <c r="E151" t="s">
        <v>676</v>
      </c>
      <c r="F151" s="154">
        <v>4.3999999999999995</v>
      </c>
      <c r="G151" s="154">
        <v>4.2</v>
      </c>
      <c r="H151" s="154">
        <v>4.2</v>
      </c>
      <c r="I151">
        <v>10</v>
      </c>
      <c r="J151">
        <v>1</v>
      </c>
      <c r="K151">
        <v>20</v>
      </c>
    </row>
    <row r="152" spans="1:11" x14ac:dyDescent="0.35">
      <c r="A152" t="s">
        <v>648</v>
      </c>
      <c r="B152" t="s">
        <v>251</v>
      </c>
      <c r="C152" t="s">
        <v>252</v>
      </c>
      <c r="D152" t="s">
        <v>13</v>
      </c>
      <c r="E152" t="s">
        <v>676</v>
      </c>
      <c r="F152" s="154">
        <v>4.8666666666666663</v>
      </c>
      <c r="G152" s="154">
        <v>4.3</v>
      </c>
      <c r="H152" s="154">
        <v>4.3</v>
      </c>
      <c r="I152">
        <v>9</v>
      </c>
      <c r="J152">
        <v>3</v>
      </c>
      <c r="K152">
        <v>20</v>
      </c>
    </row>
    <row r="153" spans="1:11" x14ac:dyDescent="0.35">
      <c r="A153" t="s">
        <v>649</v>
      </c>
      <c r="B153" t="s">
        <v>182</v>
      </c>
      <c r="C153" t="s">
        <v>253</v>
      </c>
      <c r="D153" t="s">
        <v>72</v>
      </c>
      <c r="E153" t="s">
        <v>676</v>
      </c>
      <c r="F153" s="154">
        <v>4.7333333333333334</v>
      </c>
      <c r="G153" s="154">
        <v>4.5</v>
      </c>
      <c r="H153" s="154">
        <v>4.5</v>
      </c>
      <c r="I153">
        <v>0</v>
      </c>
      <c r="J153">
        <v>0</v>
      </c>
      <c r="K153">
        <v>20</v>
      </c>
    </row>
    <row r="154" spans="1:11" x14ac:dyDescent="0.35">
      <c r="A154" t="s">
        <v>650</v>
      </c>
      <c r="B154" t="s">
        <v>56</v>
      </c>
      <c r="C154" t="s">
        <v>254</v>
      </c>
      <c r="D154" t="s">
        <v>72</v>
      </c>
      <c r="E154" t="s">
        <v>676</v>
      </c>
      <c r="F154" s="154">
        <v>5</v>
      </c>
      <c r="G154" s="154">
        <v>4.7</v>
      </c>
      <c r="H154" s="154">
        <v>4.7</v>
      </c>
      <c r="I154">
        <v>4</v>
      </c>
      <c r="J154">
        <v>0</v>
      </c>
      <c r="K154">
        <v>20</v>
      </c>
    </row>
    <row r="155" spans="1:11" x14ac:dyDescent="0.35">
      <c r="A155" t="s">
        <v>651</v>
      </c>
      <c r="B155" t="s">
        <v>255</v>
      </c>
      <c r="C155" t="s">
        <v>256</v>
      </c>
      <c r="D155" t="s">
        <v>72</v>
      </c>
      <c r="E155" t="s">
        <v>676</v>
      </c>
      <c r="F155" s="154">
        <v>4.5333333333333332</v>
      </c>
      <c r="G155" s="154">
        <v>4.0999999999999996</v>
      </c>
      <c r="H155" s="154">
        <v>4.0999999999999996</v>
      </c>
      <c r="I155">
        <v>2</v>
      </c>
      <c r="J155">
        <v>4</v>
      </c>
      <c r="K155">
        <v>20</v>
      </c>
    </row>
    <row r="156" spans="1:11" x14ac:dyDescent="0.35">
      <c r="A156" t="s">
        <v>652</v>
      </c>
      <c r="B156" t="s">
        <v>257</v>
      </c>
      <c r="C156" t="s">
        <v>77</v>
      </c>
      <c r="D156" t="s">
        <v>72</v>
      </c>
      <c r="E156" t="s">
        <v>676</v>
      </c>
      <c r="F156" s="154">
        <v>4.666666666666667</v>
      </c>
      <c r="G156" s="154">
        <v>4.4000000000000004</v>
      </c>
      <c r="H156" s="154">
        <v>4.4000000000000004</v>
      </c>
      <c r="I156">
        <v>2</v>
      </c>
      <c r="J156">
        <v>0</v>
      </c>
      <c r="K156">
        <v>40</v>
      </c>
    </row>
    <row r="157" spans="1:11" x14ac:dyDescent="0.35">
      <c r="A157" t="s">
        <v>653</v>
      </c>
      <c r="B157" t="s">
        <v>67</v>
      </c>
      <c r="C157" t="s">
        <v>258</v>
      </c>
      <c r="D157" t="s">
        <v>72</v>
      </c>
      <c r="E157" t="s">
        <v>676</v>
      </c>
      <c r="F157" s="154">
        <v>4.8666666666666663</v>
      </c>
      <c r="G157" s="154">
        <v>4.7</v>
      </c>
      <c r="H157" s="154">
        <v>4.7</v>
      </c>
      <c r="I157">
        <v>6</v>
      </c>
      <c r="J157">
        <v>0</v>
      </c>
      <c r="K157">
        <v>20</v>
      </c>
    </row>
    <row r="158" spans="1:11" x14ac:dyDescent="0.35">
      <c r="A158" t="s">
        <v>654</v>
      </c>
      <c r="B158" t="s">
        <v>218</v>
      </c>
      <c r="C158" t="s">
        <v>88</v>
      </c>
      <c r="D158" t="s">
        <v>72</v>
      </c>
      <c r="E158" t="s">
        <v>676</v>
      </c>
      <c r="F158" s="154">
        <v>5</v>
      </c>
      <c r="G158" s="154">
        <v>4.4000000000000004</v>
      </c>
      <c r="H158" s="154">
        <v>4.4000000000000004</v>
      </c>
      <c r="I158">
        <v>1</v>
      </c>
      <c r="J158">
        <v>4</v>
      </c>
      <c r="K158" t="s">
        <v>426</v>
      </c>
    </row>
    <row r="159" spans="1:11" x14ac:dyDescent="0.35">
      <c r="A159" t="s">
        <v>655</v>
      </c>
      <c r="B159" t="s">
        <v>259</v>
      </c>
      <c r="C159" t="s">
        <v>130</v>
      </c>
      <c r="D159" t="s">
        <v>72</v>
      </c>
      <c r="E159" t="s">
        <v>676</v>
      </c>
      <c r="F159" s="154">
        <v>3.1999999999999997</v>
      </c>
      <c r="G159" s="154">
        <v>4</v>
      </c>
      <c r="H159" s="154">
        <v>4</v>
      </c>
      <c r="I159">
        <v>14</v>
      </c>
      <c r="J159">
        <v>5</v>
      </c>
      <c r="K159">
        <v>20</v>
      </c>
    </row>
    <row r="160" spans="1:11" x14ac:dyDescent="0.35">
      <c r="A160" t="s">
        <v>656</v>
      </c>
      <c r="B160" t="s">
        <v>260</v>
      </c>
      <c r="C160" t="s">
        <v>261</v>
      </c>
      <c r="D160" t="s">
        <v>72</v>
      </c>
      <c r="E160" t="s">
        <v>676</v>
      </c>
      <c r="F160" s="154">
        <v>4.1333333333333329</v>
      </c>
      <c r="G160" s="154">
        <v>4.3</v>
      </c>
      <c r="H160" s="154">
        <v>4.3</v>
      </c>
      <c r="I160">
        <v>10</v>
      </c>
      <c r="J160">
        <v>4</v>
      </c>
      <c r="K160" t="s">
        <v>426</v>
      </c>
    </row>
    <row r="161" spans="1:11" x14ac:dyDescent="0.35">
      <c r="A161" t="s">
        <v>657</v>
      </c>
      <c r="B161" t="s">
        <v>262</v>
      </c>
      <c r="C161" t="s">
        <v>263</v>
      </c>
      <c r="D161" t="s">
        <v>72</v>
      </c>
      <c r="E161" t="s">
        <v>676</v>
      </c>
      <c r="F161" s="154">
        <v>4.333333333333333</v>
      </c>
      <c r="G161" s="154">
        <v>4.5999999999999996</v>
      </c>
      <c r="H161" s="154">
        <v>4.5999999999999996</v>
      </c>
      <c r="I161">
        <v>0</v>
      </c>
      <c r="J161">
        <v>0</v>
      </c>
      <c r="K161">
        <v>20</v>
      </c>
    </row>
    <row r="162" spans="1:11" x14ac:dyDescent="0.35">
      <c r="A162" t="s">
        <v>658</v>
      </c>
      <c r="B162" t="s">
        <v>98</v>
      </c>
      <c r="C162" t="s">
        <v>100</v>
      </c>
      <c r="D162" t="s">
        <v>72</v>
      </c>
      <c r="E162" t="s">
        <v>676</v>
      </c>
      <c r="F162" s="154">
        <v>3.6</v>
      </c>
      <c r="G162" s="154">
        <v>4.9000000000000004</v>
      </c>
      <c r="H162" s="154">
        <v>4.9000000000000004</v>
      </c>
      <c r="I162">
        <v>1</v>
      </c>
      <c r="J162">
        <v>1</v>
      </c>
      <c r="K162">
        <v>40</v>
      </c>
    </row>
    <row r="163" spans="1:11" x14ac:dyDescent="0.35">
      <c r="A163" t="s">
        <v>659</v>
      </c>
      <c r="B163" t="s">
        <v>264</v>
      </c>
      <c r="C163" t="s">
        <v>265</v>
      </c>
      <c r="D163" t="s">
        <v>72</v>
      </c>
      <c r="E163" t="s">
        <v>676</v>
      </c>
      <c r="F163" s="154">
        <v>4.5333333333333332</v>
      </c>
      <c r="G163" s="154">
        <v>4.4000000000000004</v>
      </c>
      <c r="H163" s="154">
        <v>4.4000000000000004</v>
      </c>
      <c r="I163">
        <v>6</v>
      </c>
      <c r="J163">
        <v>0</v>
      </c>
      <c r="K163">
        <v>20</v>
      </c>
    </row>
    <row r="164" spans="1:11" x14ac:dyDescent="0.35">
      <c r="A164" t="s">
        <v>660</v>
      </c>
      <c r="B164" t="s">
        <v>266</v>
      </c>
      <c r="C164" t="s">
        <v>102</v>
      </c>
      <c r="D164" t="s">
        <v>72</v>
      </c>
      <c r="E164" t="s">
        <v>676</v>
      </c>
      <c r="F164" s="154">
        <v>4.2666666666666666</v>
      </c>
      <c r="G164" s="154">
        <v>4.5999999999999996</v>
      </c>
      <c r="H164" s="154">
        <v>4.5999999999999996</v>
      </c>
      <c r="I164">
        <v>0</v>
      </c>
      <c r="J164">
        <v>0</v>
      </c>
      <c r="K164">
        <v>20</v>
      </c>
    </row>
    <row r="165" spans="1:11" x14ac:dyDescent="0.35">
      <c r="A165" t="s">
        <v>661</v>
      </c>
      <c r="B165" t="s">
        <v>267</v>
      </c>
      <c r="C165" t="s">
        <v>31</v>
      </c>
      <c r="D165" t="s">
        <v>72</v>
      </c>
      <c r="E165" t="s">
        <v>676</v>
      </c>
      <c r="F165" s="154">
        <v>5</v>
      </c>
      <c r="G165" s="154">
        <v>4.5999999999999996</v>
      </c>
      <c r="H165" s="154">
        <v>4.5999999999999996</v>
      </c>
      <c r="I165">
        <v>0</v>
      </c>
      <c r="J165">
        <v>0</v>
      </c>
      <c r="K165" t="s">
        <v>426</v>
      </c>
    </row>
    <row r="166" spans="1:11" x14ac:dyDescent="0.35">
      <c r="A166" t="s">
        <v>662</v>
      </c>
      <c r="B166" t="s">
        <v>268</v>
      </c>
      <c r="C166" t="s">
        <v>269</v>
      </c>
      <c r="D166" t="s">
        <v>72</v>
      </c>
      <c r="E166" t="s">
        <v>676</v>
      </c>
      <c r="F166" s="154">
        <v>4.8666666666666663</v>
      </c>
      <c r="G166" s="154">
        <v>4.5</v>
      </c>
      <c r="H166" s="154">
        <v>4.5</v>
      </c>
      <c r="I166">
        <v>5</v>
      </c>
      <c r="J166">
        <v>0</v>
      </c>
      <c r="K166" t="s">
        <v>426</v>
      </c>
    </row>
    <row r="167" spans="1:11" x14ac:dyDescent="0.35">
      <c r="A167" t="s">
        <v>663</v>
      </c>
      <c r="B167" t="s">
        <v>270</v>
      </c>
      <c r="C167" t="s">
        <v>39</v>
      </c>
      <c r="D167" t="s">
        <v>72</v>
      </c>
      <c r="E167" t="s">
        <v>676</v>
      </c>
      <c r="F167" s="154">
        <v>5</v>
      </c>
      <c r="G167" s="154">
        <v>4.5999999999999996</v>
      </c>
      <c r="H167" s="154">
        <v>4.5999999999999996</v>
      </c>
      <c r="I167">
        <v>3</v>
      </c>
      <c r="J167">
        <v>0</v>
      </c>
      <c r="K167">
        <v>20</v>
      </c>
    </row>
    <row r="168" spans="1:11" x14ac:dyDescent="0.35">
      <c r="A168" t="s">
        <v>664</v>
      </c>
      <c r="B168" t="s">
        <v>271</v>
      </c>
      <c r="C168" t="s">
        <v>272</v>
      </c>
      <c r="D168" t="s">
        <v>72</v>
      </c>
      <c r="E168" t="s">
        <v>676</v>
      </c>
      <c r="F168" s="154">
        <v>3.1999999999999997</v>
      </c>
      <c r="G168" s="154">
        <v>4.4000000000000004</v>
      </c>
      <c r="H168" s="154">
        <v>4.4000000000000004</v>
      </c>
      <c r="I168">
        <v>8</v>
      </c>
      <c r="J168">
        <v>2</v>
      </c>
      <c r="K168">
        <v>20</v>
      </c>
    </row>
    <row r="169" spans="1:11" x14ac:dyDescent="0.35">
      <c r="A169" t="s">
        <v>665</v>
      </c>
      <c r="B169" t="s">
        <v>273</v>
      </c>
      <c r="C169" t="s">
        <v>274</v>
      </c>
      <c r="D169" t="s">
        <v>72</v>
      </c>
      <c r="E169" t="s">
        <v>676</v>
      </c>
      <c r="F169" s="154">
        <v>5</v>
      </c>
      <c r="G169" s="154">
        <v>4.4000000000000004</v>
      </c>
      <c r="H169" s="154">
        <v>4.4000000000000004</v>
      </c>
      <c r="I169">
        <v>14</v>
      </c>
      <c r="J169">
        <v>2</v>
      </c>
      <c r="K169">
        <v>40</v>
      </c>
    </row>
    <row r="170" spans="1:11" x14ac:dyDescent="0.35">
      <c r="A170" t="s">
        <v>666</v>
      </c>
      <c r="B170" t="s">
        <v>200</v>
      </c>
      <c r="C170" t="s">
        <v>275</v>
      </c>
      <c r="D170" t="s">
        <v>72</v>
      </c>
      <c r="E170" t="s">
        <v>676</v>
      </c>
      <c r="F170" s="154">
        <v>4.8666666666666663</v>
      </c>
      <c r="G170" s="154">
        <v>4.3</v>
      </c>
      <c r="H170" s="154">
        <v>4.3</v>
      </c>
      <c r="I170">
        <v>0</v>
      </c>
      <c r="J170">
        <v>0</v>
      </c>
      <c r="K170">
        <v>20</v>
      </c>
    </row>
    <row r="171" spans="1:11" x14ac:dyDescent="0.35">
      <c r="A171" t="s">
        <v>667</v>
      </c>
      <c r="B171" t="s">
        <v>276</v>
      </c>
      <c r="C171" t="s">
        <v>46</v>
      </c>
      <c r="D171" t="s">
        <v>72</v>
      </c>
      <c r="E171" t="s">
        <v>676</v>
      </c>
      <c r="F171" s="154">
        <v>5</v>
      </c>
      <c r="G171" s="154">
        <v>4.9000000000000004</v>
      </c>
      <c r="H171" s="154">
        <v>4.9000000000000004</v>
      </c>
      <c r="I171">
        <v>2</v>
      </c>
      <c r="J171">
        <v>0</v>
      </c>
      <c r="K171" t="s">
        <v>426</v>
      </c>
    </row>
    <row r="172" spans="1:11" x14ac:dyDescent="0.35">
      <c r="A172" t="s">
        <v>668</v>
      </c>
      <c r="B172" t="s">
        <v>277</v>
      </c>
      <c r="C172" t="s">
        <v>278</v>
      </c>
      <c r="D172" t="s">
        <v>72</v>
      </c>
      <c r="E172" t="s">
        <v>676</v>
      </c>
      <c r="F172" s="154">
        <v>4.8666666666666663</v>
      </c>
      <c r="G172" s="154">
        <v>4.2</v>
      </c>
      <c r="H172" s="154">
        <v>4.2</v>
      </c>
      <c r="I172">
        <v>7</v>
      </c>
      <c r="J172">
        <v>0</v>
      </c>
      <c r="K172">
        <v>20</v>
      </c>
    </row>
    <row r="173" spans="1:11" x14ac:dyDescent="0.35">
      <c r="A173" t="s">
        <v>669</v>
      </c>
      <c r="B173" t="s">
        <v>270</v>
      </c>
      <c r="C173" t="s">
        <v>117</v>
      </c>
      <c r="D173" t="s">
        <v>72</v>
      </c>
      <c r="E173" t="s">
        <v>676</v>
      </c>
      <c r="F173" s="154">
        <v>4.2666666666666666</v>
      </c>
      <c r="G173" s="154">
        <v>4.3</v>
      </c>
      <c r="H173" s="154">
        <v>4.3</v>
      </c>
      <c r="I173">
        <v>6</v>
      </c>
      <c r="J173">
        <v>3</v>
      </c>
      <c r="K173">
        <v>20</v>
      </c>
    </row>
    <row r="174" spans="1:11" x14ac:dyDescent="0.35">
      <c r="A174" t="s">
        <v>673</v>
      </c>
      <c r="B174" t="s">
        <v>279</v>
      </c>
      <c r="C174" t="s">
        <v>280</v>
      </c>
      <c r="D174" t="s">
        <v>72</v>
      </c>
      <c r="E174" t="s">
        <v>676</v>
      </c>
      <c r="F174" s="154">
        <v>3.5333333333333332</v>
      </c>
      <c r="G174" s="154">
        <v>4.3</v>
      </c>
      <c r="H174" s="154">
        <v>4.3</v>
      </c>
      <c r="I174">
        <v>13</v>
      </c>
      <c r="J174">
        <v>5</v>
      </c>
      <c r="K174">
        <v>20</v>
      </c>
    </row>
    <row r="175" spans="1:11" x14ac:dyDescent="0.35">
      <c r="A175" t="s">
        <v>670</v>
      </c>
      <c r="B175" t="s">
        <v>98</v>
      </c>
      <c r="C175" t="s">
        <v>281</v>
      </c>
      <c r="D175" t="s">
        <v>72</v>
      </c>
      <c r="E175" t="s">
        <v>676</v>
      </c>
      <c r="F175" s="154">
        <v>3.2666666666666671</v>
      </c>
      <c r="G175" s="154">
        <v>3.7</v>
      </c>
      <c r="H175" s="154">
        <v>3.7</v>
      </c>
      <c r="I175">
        <v>1</v>
      </c>
      <c r="J175">
        <v>0</v>
      </c>
      <c r="K175">
        <v>20</v>
      </c>
    </row>
    <row r="176" spans="1:11" x14ac:dyDescent="0.35">
      <c r="A176" t="s">
        <v>671</v>
      </c>
      <c r="B176" t="s">
        <v>282</v>
      </c>
      <c r="C176" t="s">
        <v>283</v>
      </c>
      <c r="D176" t="s">
        <v>72</v>
      </c>
      <c r="E176" t="s">
        <v>676</v>
      </c>
      <c r="F176" s="154">
        <v>4.7333333333333334</v>
      </c>
      <c r="G176" s="154">
        <v>4.3</v>
      </c>
      <c r="H176" s="154">
        <v>4.3</v>
      </c>
      <c r="I176">
        <v>0</v>
      </c>
      <c r="J176">
        <v>0</v>
      </c>
      <c r="K176">
        <v>40</v>
      </c>
    </row>
    <row r="177" spans="1:11" x14ac:dyDescent="0.35">
      <c r="A177" t="s">
        <v>672</v>
      </c>
      <c r="B177" t="s">
        <v>284</v>
      </c>
      <c r="C177" t="s">
        <v>283</v>
      </c>
      <c r="D177" t="s">
        <v>72</v>
      </c>
      <c r="E177" t="s">
        <v>676</v>
      </c>
      <c r="F177" s="154">
        <v>4.5333333333333332</v>
      </c>
      <c r="G177" s="154">
        <v>4.7</v>
      </c>
      <c r="H177" s="154">
        <v>4.7</v>
      </c>
      <c r="I177">
        <v>10</v>
      </c>
      <c r="J177">
        <v>0</v>
      </c>
      <c r="K177">
        <v>20</v>
      </c>
    </row>
  </sheetData>
  <sortState xmlns:xlrd2="http://schemas.microsoft.com/office/spreadsheetml/2017/richdata2" ref="B2:E177">
    <sortCondition ref="E2:E177" customList="FR,JR,SR"/>
    <sortCondition ref="D2:D177"/>
    <sortCondition ref="C2:C177"/>
    <sortCondition ref="B2:B177"/>
  </sortState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2546-6951-4505-91B4-063E840DF9FC}">
  <dimension ref="A1:BK177"/>
  <sheetViews>
    <sheetView topLeftCell="A53" workbookViewId="0">
      <selection activeCell="A2" sqref="A2:A63"/>
    </sheetView>
  </sheetViews>
  <sheetFormatPr defaultRowHeight="14.5" x14ac:dyDescent="0.35"/>
  <cols>
    <col min="1" max="3" width="10.54296875" customWidth="1"/>
    <col min="4" max="49" width="0" hidden="1" customWidth="1"/>
    <col min="50" max="54" width="8.90625" hidden="1" customWidth="1"/>
    <col min="55" max="55" width="11.36328125" hidden="1" customWidth="1"/>
    <col min="56" max="56" width="11.1796875" hidden="1" customWidth="1"/>
    <col min="57" max="58" width="0" hidden="1" customWidth="1"/>
  </cols>
  <sheetData>
    <row r="1" spans="1:63" ht="15" thickBot="1" x14ac:dyDescent="0.4">
      <c r="B1" s="5" t="s">
        <v>293</v>
      </c>
      <c r="C1" s="6" t="s">
        <v>294</v>
      </c>
      <c r="D1" s="48" t="s">
        <v>295</v>
      </c>
      <c r="E1" s="7" t="s">
        <v>296</v>
      </c>
      <c r="F1" s="7" t="s">
        <v>297</v>
      </c>
      <c r="G1" s="7" t="s">
        <v>298</v>
      </c>
      <c r="H1" s="7" t="s">
        <v>299</v>
      </c>
      <c r="I1" s="7" t="s">
        <v>300</v>
      </c>
      <c r="J1" s="8" t="s">
        <v>301</v>
      </c>
      <c r="K1" s="8" t="s">
        <v>302</v>
      </c>
      <c r="L1" s="8" t="s">
        <v>303</v>
      </c>
      <c r="M1" s="8" t="s">
        <v>304</v>
      </c>
      <c r="N1" s="8" t="s">
        <v>305</v>
      </c>
      <c r="O1" s="9" t="s">
        <v>306</v>
      </c>
      <c r="P1" s="9" t="s">
        <v>307</v>
      </c>
      <c r="Q1" s="9" t="s">
        <v>308</v>
      </c>
      <c r="R1" s="9" t="s">
        <v>309</v>
      </c>
      <c r="S1" s="9" t="s">
        <v>310</v>
      </c>
      <c r="T1" s="9" t="s">
        <v>311</v>
      </c>
      <c r="U1" s="9" t="s">
        <v>312</v>
      </c>
      <c r="V1" s="9" t="s">
        <v>313</v>
      </c>
      <c r="W1" s="9" t="s">
        <v>314</v>
      </c>
      <c r="X1" s="9" t="s">
        <v>315</v>
      </c>
      <c r="Y1" s="9" t="s">
        <v>316</v>
      </c>
      <c r="Z1" s="10" t="s">
        <v>317</v>
      </c>
      <c r="AA1" s="10" t="s">
        <v>318</v>
      </c>
      <c r="AB1" s="10" t="s">
        <v>319</v>
      </c>
      <c r="AC1" s="10" t="s">
        <v>320</v>
      </c>
      <c r="AD1" s="10" t="s">
        <v>321</v>
      </c>
      <c r="AE1" s="10" t="s">
        <v>322</v>
      </c>
      <c r="AF1" s="10" t="s">
        <v>323</v>
      </c>
      <c r="AG1" s="10" t="s">
        <v>324</v>
      </c>
      <c r="AH1" s="10" t="s">
        <v>325</v>
      </c>
      <c r="AI1" s="10" t="s">
        <v>326</v>
      </c>
      <c r="AJ1" s="10" t="s">
        <v>327</v>
      </c>
      <c r="AK1" s="10" t="s">
        <v>328</v>
      </c>
      <c r="AL1" s="10" t="s">
        <v>329</v>
      </c>
      <c r="AM1" s="10" t="s">
        <v>330</v>
      </c>
      <c r="AN1" s="10" t="s">
        <v>331</v>
      </c>
      <c r="AO1" s="10" t="s">
        <v>332</v>
      </c>
      <c r="AP1" s="10" t="s">
        <v>333</v>
      </c>
      <c r="AQ1" s="10" t="s">
        <v>334</v>
      </c>
      <c r="AR1" s="10" t="s">
        <v>335</v>
      </c>
      <c r="AS1" s="10" t="s">
        <v>336</v>
      </c>
      <c r="AT1" s="10" t="s">
        <v>337</v>
      </c>
      <c r="AU1" s="10" t="s">
        <v>338</v>
      </c>
      <c r="AV1" s="10" t="s">
        <v>339</v>
      </c>
      <c r="AW1" s="10" t="s">
        <v>340</v>
      </c>
      <c r="AX1" s="10" t="s">
        <v>341</v>
      </c>
      <c r="AY1" s="10" t="s">
        <v>342</v>
      </c>
      <c r="AZ1" s="10" t="s">
        <v>343</v>
      </c>
      <c r="BA1" s="10" t="s">
        <v>344</v>
      </c>
      <c r="BB1" s="10" t="s">
        <v>345</v>
      </c>
      <c r="BC1" s="10" t="s">
        <v>346</v>
      </c>
      <c r="BD1" s="11" t="s">
        <v>8</v>
      </c>
      <c r="BE1" s="12" t="s">
        <v>9</v>
      </c>
    </row>
    <row r="2" spans="1:63" ht="15.5" x14ac:dyDescent="0.35">
      <c r="A2" t="s">
        <v>11</v>
      </c>
      <c r="B2" s="14" t="s">
        <v>11</v>
      </c>
      <c r="C2" s="14" t="s">
        <v>12</v>
      </c>
      <c r="D2" s="14" t="s">
        <v>13</v>
      </c>
      <c r="E2" s="15" t="s">
        <v>291</v>
      </c>
      <c r="F2" s="15" t="s">
        <v>291</v>
      </c>
      <c r="G2" s="15" t="s">
        <v>291</v>
      </c>
      <c r="H2" s="15" t="s">
        <v>291</v>
      </c>
      <c r="I2" s="15" t="s">
        <v>291</v>
      </c>
      <c r="J2" s="15" t="s">
        <v>291</v>
      </c>
      <c r="K2" s="15" t="s">
        <v>291</v>
      </c>
      <c r="L2" s="15" t="s">
        <v>291</v>
      </c>
      <c r="M2" s="32" t="s">
        <v>285</v>
      </c>
      <c r="N2" s="15" t="s">
        <v>291</v>
      </c>
      <c r="O2" s="16" t="s">
        <v>291</v>
      </c>
      <c r="P2" s="17" t="s">
        <v>291</v>
      </c>
      <c r="Q2" s="17" t="s">
        <v>291</v>
      </c>
      <c r="R2" s="17" t="s">
        <v>291</v>
      </c>
      <c r="S2" s="17" t="s">
        <v>291</v>
      </c>
      <c r="T2" s="17" t="s">
        <v>291</v>
      </c>
      <c r="U2" s="18" t="s">
        <v>291</v>
      </c>
      <c r="V2" s="18" t="s">
        <v>291</v>
      </c>
      <c r="W2" s="19" t="s">
        <v>291</v>
      </c>
      <c r="X2" s="20" t="s">
        <v>291</v>
      </c>
      <c r="Y2" s="20" t="s">
        <v>291</v>
      </c>
      <c r="Z2" s="20" t="s">
        <v>291</v>
      </c>
      <c r="AA2" s="20" t="s">
        <v>291</v>
      </c>
      <c r="AB2" s="20" t="s">
        <v>291</v>
      </c>
      <c r="AC2" s="20" t="s">
        <v>291</v>
      </c>
      <c r="AD2" s="20" t="s">
        <v>291</v>
      </c>
      <c r="AE2" s="20" t="s">
        <v>291</v>
      </c>
      <c r="AF2" s="20" t="s">
        <v>292</v>
      </c>
      <c r="AG2" s="20" t="s">
        <v>291</v>
      </c>
      <c r="AH2" s="31" t="s">
        <v>285</v>
      </c>
      <c r="AI2" s="20" t="s">
        <v>291</v>
      </c>
      <c r="AJ2" s="20" t="s">
        <v>291</v>
      </c>
      <c r="AK2" s="21" t="s">
        <v>291</v>
      </c>
      <c r="AL2" s="20" t="s">
        <v>291</v>
      </c>
      <c r="AM2" s="20" t="s">
        <v>291</v>
      </c>
      <c r="AN2" s="20" t="s">
        <v>291</v>
      </c>
      <c r="AO2" s="20" t="s">
        <v>291</v>
      </c>
      <c r="AP2" s="20" t="s">
        <v>291</v>
      </c>
      <c r="AQ2" s="20" t="s">
        <v>291</v>
      </c>
      <c r="AR2" s="20" t="s">
        <v>291</v>
      </c>
      <c r="AS2" s="20" t="s">
        <v>291</v>
      </c>
      <c r="AT2" s="20" t="s">
        <v>291</v>
      </c>
      <c r="AU2" s="20" t="s">
        <v>291</v>
      </c>
      <c r="AV2" s="20" t="s">
        <v>291</v>
      </c>
      <c r="AW2" s="20" t="s">
        <v>291</v>
      </c>
      <c r="AX2" s="20" t="s">
        <v>291</v>
      </c>
      <c r="AY2" s="20" t="s">
        <v>291</v>
      </c>
      <c r="AZ2" s="20" t="s">
        <v>291</v>
      </c>
      <c r="BA2" s="20" t="s">
        <v>291</v>
      </c>
      <c r="BB2" s="20" t="s">
        <v>291</v>
      </c>
      <c r="BC2" s="20" t="s">
        <v>291</v>
      </c>
      <c r="BD2">
        <f t="shared" ref="BD2:BD33" si="0">COUNTIF(D2:BC2,"A")</f>
        <v>2</v>
      </c>
      <c r="BE2" s="20">
        <f t="shared" ref="BE2:BE33" si="1">COUNTIF(D2:BC2,"T")</f>
        <v>1</v>
      </c>
      <c r="BG2" s="2" t="s">
        <v>348</v>
      </c>
      <c r="BH2" s="147" t="s">
        <v>452</v>
      </c>
      <c r="BI2" s="133">
        <v>10</v>
      </c>
      <c r="BJ2" s="133">
        <v>10</v>
      </c>
      <c r="BK2" t="str">
        <f>IF(SUM(BG2:BJ2)=20,"",20-SUM(BG2:BJ2))</f>
        <v/>
      </c>
    </row>
    <row r="3" spans="1:63" ht="15.5" x14ac:dyDescent="0.35">
      <c r="A3" t="s">
        <v>14</v>
      </c>
      <c r="B3" s="14" t="s">
        <v>14</v>
      </c>
      <c r="C3" s="14" t="s">
        <v>15</v>
      </c>
      <c r="D3" s="14" t="s">
        <v>13</v>
      </c>
      <c r="E3" s="15" t="s">
        <v>291</v>
      </c>
      <c r="F3" s="15" t="s">
        <v>291</v>
      </c>
      <c r="G3" s="32" t="s">
        <v>285</v>
      </c>
      <c r="H3" s="15" t="s">
        <v>291</v>
      </c>
      <c r="I3" s="15" t="s">
        <v>291</v>
      </c>
      <c r="J3" s="15" t="s">
        <v>291</v>
      </c>
      <c r="K3" s="15" t="s">
        <v>291</v>
      </c>
      <c r="L3" s="15" t="s">
        <v>292</v>
      </c>
      <c r="M3" s="15" t="s">
        <v>291</v>
      </c>
      <c r="N3" s="15" t="s">
        <v>291</v>
      </c>
      <c r="O3" s="23" t="s">
        <v>291</v>
      </c>
      <c r="P3" s="24" t="s">
        <v>291</v>
      </c>
      <c r="Q3" s="24" t="s">
        <v>291</v>
      </c>
      <c r="R3" s="17" t="s">
        <v>291</v>
      </c>
      <c r="S3" s="17" t="s">
        <v>291</v>
      </c>
      <c r="T3" s="17" t="s">
        <v>291</v>
      </c>
      <c r="U3" s="25" t="s">
        <v>291</v>
      </c>
      <c r="V3" s="18" t="s">
        <v>291</v>
      </c>
      <c r="W3" s="19" t="s">
        <v>291</v>
      </c>
      <c r="X3" s="20" t="s">
        <v>291</v>
      </c>
      <c r="Y3" s="20" t="s">
        <v>291</v>
      </c>
      <c r="Z3" s="31" t="s">
        <v>285</v>
      </c>
      <c r="AA3" s="20" t="s">
        <v>291</v>
      </c>
      <c r="AB3" s="20" t="s">
        <v>291</v>
      </c>
      <c r="AC3" s="20" t="s">
        <v>291</v>
      </c>
      <c r="AD3" s="20" t="s">
        <v>291</v>
      </c>
      <c r="AE3" s="20" t="s">
        <v>291</v>
      </c>
      <c r="AF3" s="31" t="s">
        <v>285</v>
      </c>
      <c r="AG3" s="20" t="s">
        <v>292</v>
      </c>
      <c r="AH3" s="20" t="s">
        <v>292</v>
      </c>
      <c r="AI3" s="20" t="s">
        <v>291</v>
      </c>
      <c r="AJ3" s="20" t="s">
        <v>291</v>
      </c>
      <c r="AK3" s="21" t="s">
        <v>291</v>
      </c>
      <c r="AL3" s="26" t="s">
        <v>291</v>
      </c>
      <c r="AM3" s="20" t="s">
        <v>291</v>
      </c>
      <c r="AN3" s="20" t="s">
        <v>291</v>
      </c>
      <c r="AO3" s="20" t="s">
        <v>291</v>
      </c>
      <c r="AP3" s="20" t="s">
        <v>291</v>
      </c>
      <c r="AQ3" s="20" t="s">
        <v>291</v>
      </c>
      <c r="AR3" s="20" t="s">
        <v>291</v>
      </c>
      <c r="AS3" s="20" t="s">
        <v>291</v>
      </c>
      <c r="AT3" s="20" t="s">
        <v>291</v>
      </c>
      <c r="AU3" s="26" t="s">
        <v>291</v>
      </c>
      <c r="AV3" s="29" t="s">
        <v>285</v>
      </c>
      <c r="AW3" s="20" t="s">
        <v>291</v>
      </c>
      <c r="AX3" s="20" t="s">
        <v>291</v>
      </c>
      <c r="AY3" s="20" t="s">
        <v>291</v>
      </c>
      <c r="AZ3" s="26" t="s">
        <v>291</v>
      </c>
      <c r="BA3" s="26" t="s">
        <v>291</v>
      </c>
      <c r="BB3" s="26" t="s">
        <v>292</v>
      </c>
      <c r="BC3" s="20" t="s">
        <v>292</v>
      </c>
      <c r="BD3">
        <f t="shared" si="0"/>
        <v>4</v>
      </c>
      <c r="BE3" s="20">
        <f t="shared" si="1"/>
        <v>5</v>
      </c>
      <c r="BG3" s="122" t="s">
        <v>349</v>
      </c>
      <c r="BH3" s="109" t="s">
        <v>453</v>
      </c>
      <c r="BI3" s="133">
        <v>10</v>
      </c>
      <c r="BJ3" s="133">
        <v>10</v>
      </c>
      <c r="BK3" t="str">
        <f t="shared" ref="BK3:BK63" si="2">IF(SUM(BG3:BJ3)=20,"",20-SUM(BG3:BJ3))</f>
        <v/>
      </c>
    </row>
    <row r="4" spans="1:63" ht="15.5" x14ac:dyDescent="0.35">
      <c r="A4" t="s">
        <v>16</v>
      </c>
      <c r="B4" s="14" t="s">
        <v>16</v>
      </c>
      <c r="C4" s="14" t="s">
        <v>17</v>
      </c>
      <c r="D4" s="14" t="s">
        <v>13</v>
      </c>
      <c r="E4" s="15" t="s">
        <v>291</v>
      </c>
      <c r="F4" s="15" t="s">
        <v>291</v>
      </c>
      <c r="G4" s="15" t="s">
        <v>291</v>
      </c>
      <c r="H4" s="15" t="s">
        <v>291</v>
      </c>
      <c r="I4" s="15" t="s">
        <v>291</v>
      </c>
      <c r="J4" s="15" t="s">
        <v>291</v>
      </c>
      <c r="K4" s="15" t="s">
        <v>291</v>
      </c>
      <c r="L4" s="15" t="s">
        <v>291</v>
      </c>
      <c r="M4" s="15" t="s">
        <v>291</v>
      </c>
      <c r="N4" s="15" t="s">
        <v>291</v>
      </c>
      <c r="O4" s="23" t="s">
        <v>291</v>
      </c>
      <c r="P4" s="24" t="s">
        <v>291</v>
      </c>
      <c r="Q4" s="24" t="s">
        <v>292</v>
      </c>
      <c r="R4" s="17" t="s">
        <v>291</v>
      </c>
      <c r="S4" s="17" t="s">
        <v>291</v>
      </c>
      <c r="T4" s="17" t="s">
        <v>291</v>
      </c>
      <c r="U4" s="25" t="s">
        <v>291</v>
      </c>
      <c r="V4" s="33" t="s">
        <v>285</v>
      </c>
      <c r="W4" s="34" t="s">
        <v>285</v>
      </c>
      <c r="X4" s="20" t="s">
        <v>291</v>
      </c>
      <c r="Y4" s="20" t="s">
        <v>291</v>
      </c>
      <c r="Z4" s="20" t="s">
        <v>291</v>
      </c>
      <c r="AA4" s="20" t="s">
        <v>291</v>
      </c>
      <c r="AB4" s="20" t="s">
        <v>291</v>
      </c>
      <c r="AC4" s="20" t="s">
        <v>291</v>
      </c>
      <c r="AD4" s="20" t="s">
        <v>291</v>
      </c>
      <c r="AE4" s="20" t="s">
        <v>291</v>
      </c>
      <c r="AF4" s="20" t="s">
        <v>291</v>
      </c>
      <c r="AG4" s="20" t="s">
        <v>291</v>
      </c>
      <c r="AH4" s="20" t="s">
        <v>291</v>
      </c>
      <c r="AI4" s="20" t="s">
        <v>291</v>
      </c>
      <c r="AJ4" s="31" t="s">
        <v>285</v>
      </c>
      <c r="AK4" s="21" t="s">
        <v>291</v>
      </c>
      <c r="AL4" s="26" t="s">
        <v>291</v>
      </c>
      <c r="AM4" s="20" t="s">
        <v>291</v>
      </c>
      <c r="AN4" s="20" t="s">
        <v>291</v>
      </c>
      <c r="AO4" s="20" t="s">
        <v>291</v>
      </c>
      <c r="AP4" s="20" t="s">
        <v>291</v>
      </c>
      <c r="AQ4" s="20" t="s">
        <v>291</v>
      </c>
      <c r="AR4" s="20" t="s">
        <v>291</v>
      </c>
      <c r="AS4" s="20" t="s">
        <v>291</v>
      </c>
      <c r="AT4" s="20" t="s">
        <v>291</v>
      </c>
      <c r="AU4" s="26" t="s">
        <v>292</v>
      </c>
      <c r="AV4" s="26" t="s">
        <v>291</v>
      </c>
      <c r="AW4" s="20" t="s">
        <v>292</v>
      </c>
      <c r="AX4" s="31" t="s">
        <v>285</v>
      </c>
      <c r="AY4" s="20" t="s">
        <v>291</v>
      </c>
      <c r="AZ4" s="26" t="s">
        <v>291</v>
      </c>
      <c r="BA4" s="26" t="s">
        <v>291</v>
      </c>
      <c r="BB4" s="26" t="s">
        <v>292</v>
      </c>
      <c r="BC4" s="20" t="s">
        <v>292</v>
      </c>
      <c r="BD4">
        <f t="shared" si="0"/>
        <v>4</v>
      </c>
      <c r="BE4" s="20">
        <f t="shared" si="1"/>
        <v>5</v>
      </c>
      <c r="BG4" s="122" t="s">
        <v>350</v>
      </c>
      <c r="BH4" s="147" t="s">
        <v>454</v>
      </c>
      <c r="BI4" s="133">
        <v>10</v>
      </c>
      <c r="BJ4" s="133">
        <v>10</v>
      </c>
      <c r="BK4" t="str">
        <f t="shared" si="2"/>
        <v/>
      </c>
    </row>
    <row r="5" spans="1:63" ht="15.5" x14ac:dyDescent="0.35">
      <c r="A5" t="s">
        <v>18</v>
      </c>
      <c r="B5" s="14" t="s">
        <v>18</v>
      </c>
      <c r="C5" s="14" t="s">
        <v>19</v>
      </c>
      <c r="D5" s="14" t="s">
        <v>13</v>
      </c>
      <c r="E5" s="15" t="s">
        <v>291</v>
      </c>
      <c r="F5" s="15" t="s">
        <v>291</v>
      </c>
      <c r="G5" s="15" t="s">
        <v>291</v>
      </c>
      <c r="H5" s="15" t="s">
        <v>291</v>
      </c>
      <c r="I5" s="15" t="s">
        <v>291</v>
      </c>
      <c r="J5" s="15" t="s">
        <v>291</v>
      </c>
      <c r="K5" s="15" t="s">
        <v>291</v>
      </c>
      <c r="L5" s="15" t="s">
        <v>291</v>
      </c>
      <c r="M5" s="15" t="s">
        <v>291</v>
      </c>
      <c r="N5" s="15" t="s">
        <v>291</v>
      </c>
      <c r="O5" s="23" t="s">
        <v>291</v>
      </c>
      <c r="P5" s="24" t="s">
        <v>291</v>
      </c>
      <c r="Q5" s="24" t="s">
        <v>291</v>
      </c>
      <c r="R5" s="17" t="s">
        <v>291</v>
      </c>
      <c r="S5" s="17" t="s">
        <v>291</v>
      </c>
      <c r="T5" s="17" t="s">
        <v>291</v>
      </c>
      <c r="U5" s="25" t="s">
        <v>291</v>
      </c>
      <c r="V5" s="18" t="s">
        <v>291</v>
      </c>
      <c r="W5" s="19" t="s">
        <v>291</v>
      </c>
      <c r="X5" s="20" t="s">
        <v>291</v>
      </c>
      <c r="Y5" s="20" t="s">
        <v>291</v>
      </c>
      <c r="Z5" s="20" t="s">
        <v>291</v>
      </c>
      <c r="AA5" s="20" t="s">
        <v>291</v>
      </c>
      <c r="AB5" s="20" t="s">
        <v>291</v>
      </c>
      <c r="AC5" s="20" t="s">
        <v>291</v>
      </c>
      <c r="AD5" s="20" t="s">
        <v>291</v>
      </c>
      <c r="AE5" s="20" t="s">
        <v>291</v>
      </c>
      <c r="AF5" s="20" t="s">
        <v>291</v>
      </c>
      <c r="AG5" s="20" t="s">
        <v>291</v>
      </c>
      <c r="AH5" s="20" t="s">
        <v>291</v>
      </c>
      <c r="AI5" s="20" t="s">
        <v>291</v>
      </c>
      <c r="AJ5" s="20" t="s">
        <v>291</v>
      </c>
      <c r="AK5" s="21" t="s">
        <v>291</v>
      </c>
      <c r="AL5" s="26" t="s">
        <v>291</v>
      </c>
      <c r="AM5" s="20" t="s">
        <v>291</v>
      </c>
      <c r="AN5" s="20" t="s">
        <v>292</v>
      </c>
      <c r="AO5" s="31" t="s">
        <v>285</v>
      </c>
      <c r="AP5" s="20" t="s">
        <v>291</v>
      </c>
      <c r="AQ5" s="20" t="s">
        <v>291</v>
      </c>
      <c r="AR5" s="20" t="s">
        <v>291</v>
      </c>
      <c r="AS5" s="20" t="s">
        <v>291</v>
      </c>
      <c r="AT5" s="20" t="s">
        <v>291</v>
      </c>
      <c r="AU5" s="26" t="s">
        <v>291</v>
      </c>
      <c r="AV5" s="26" t="s">
        <v>291</v>
      </c>
      <c r="AW5" s="20" t="s">
        <v>291</v>
      </c>
      <c r="AX5" s="20" t="s">
        <v>291</v>
      </c>
      <c r="AY5" s="20" t="s">
        <v>291</v>
      </c>
      <c r="AZ5" s="26" t="s">
        <v>291</v>
      </c>
      <c r="BA5" s="26" t="s">
        <v>291</v>
      </c>
      <c r="BB5" s="26" t="s">
        <v>291</v>
      </c>
      <c r="BC5" s="20" t="s">
        <v>291</v>
      </c>
      <c r="BD5">
        <f t="shared" si="0"/>
        <v>1</v>
      </c>
      <c r="BE5" s="20">
        <f t="shared" si="1"/>
        <v>1</v>
      </c>
      <c r="BG5" s="122" t="s">
        <v>351</v>
      </c>
      <c r="BH5" s="148" t="s">
        <v>455</v>
      </c>
      <c r="BI5" s="130"/>
      <c r="BJ5" s="130"/>
      <c r="BK5">
        <f t="shared" si="2"/>
        <v>20</v>
      </c>
    </row>
    <row r="6" spans="1:63" ht="15.5" x14ac:dyDescent="0.35">
      <c r="A6" t="s">
        <v>20</v>
      </c>
      <c r="B6" s="14" t="s">
        <v>20</v>
      </c>
      <c r="C6" s="14" t="s">
        <v>21</v>
      </c>
      <c r="D6" s="14" t="s">
        <v>13</v>
      </c>
      <c r="E6" s="15" t="s">
        <v>291</v>
      </c>
      <c r="F6" s="15" t="s">
        <v>291</v>
      </c>
      <c r="G6" s="15" t="s">
        <v>291</v>
      </c>
      <c r="H6" s="15" t="s">
        <v>291</v>
      </c>
      <c r="I6" s="15" t="s">
        <v>291</v>
      </c>
      <c r="J6" s="15" t="s">
        <v>291</v>
      </c>
      <c r="K6" s="15" t="s">
        <v>291</v>
      </c>
      <c r="L6" s="15" t="s">
        <v>291</v>
      </c>
      <c r="M6" s="15" t="s">
        <v>291</v>
      </c>
      <c r="N6" s="15" t="s">
        <v>291</v>
      </c>
      <c r="O6" s="23" t="s">
        <v>291</v>
      </c>
      <c r="P6" s="24" t="s">
        <v>291</v>
      </c>
      <c r="Q6" s="24" t="s">
        <v>291</v>
      </c>
      <c r="R6" s="17" t="s">
        <v>291</v>
      </c>
      <c r="S6" s="17" t="s">
        <v>291</v>
      </c>
      <c r="T6" s="17" t="s">
        <v>291</v>
      </c>
      <c r="U6" s="25" t="s">
        <v>291</v>
      </c>
      <c r="V6" s="18" t="s">
        <v>291</v>
      </c>
      <c r="W6" s="19" t="s">
        <v>291</v>
      </c>
      <c r="X6" s="20" t="s">
        <v>291</v>
      </c>
      <c r="Y6" s="20" t="s">
        <v>291</v>
      </c>
      <c r="Z6" s="20" t="s">
        <v>291</v>
      </c>
      <c r="AA6" s="20" t="s">
        <v>291</v>
      </c>
      <c r="AB6" s="20" t="s">
        <v>291</v>
      </c>
      <c r="AC6" s="20" t="s">
        <v>291</v>
      </c>
      <c r="AD6" s="20" t="s">
        <v>291</v>
      </c>
      <c r="AE6" s="20" t="s">
        <v>291</v>
      </c>
      <c r="AF6" s="20" t="s">
        <v>291</v>
      </c>
      <c r="AG6" s="20" t="s">
        <v>291</v>
      </c>
      <c r="AH6" s="20" t="s">
        <v>291</v>
      </c>
      <c r="AI6" s="20" t="s">
        <v>291</v>
      </c>
      <c r="AJ6" s="20" t="s">
        <v>291</v>
      </c>
      <c r="AK6" s="21" t="s">
        <v>291</v>
      </c>
      <c r="AL6" s="26" t="s">
        <v>291</v>
      </c>
      <c r="AM6" s="20" t="s">
        <v>291</v>
      </c>
      <c r="AN6" s="20" t="s">
        <v>291</v>
      </c>
      <c r="AO6" s="20" t="s">
        <v>291</v>
      </c>
      <c r="AP6" s="20" t="s">
        <v>291</v>
      </c>
      <c r="AQ6" s="20" t="s">
        <v>291</v>
      </c>
      <c r="AR6" s="20" t="s">
        <v>291</v>
      </c>
      <c r="AS6" s="20" t="s">
        <v>291</v>
      </c>
      <c r="AT6" s="26" t="s">
        <v>291</v>
      </c>
      <c r="AU6" s="26" t="s">
        <v>291</v>
      </c>
      <c r="AV6" s="26" t="s">
        <v>291</v>
      </c>
      <c r="AW6" s="26" t="s">
        <v>291</v>
      </c>
      <c r="AX6" s="20" t="s">
        <v>291</v>
      </c>
      <c r="AY6" s="20" t="s">
        <v>291</v>
      </c>
      <c r="AZ6" s="26" t="s">
        <v>291</v>
      </c>
      <c r="BA6" s="26" t="s">
        <v>291</v>
      </c>
      <c r="BB6" s="26" t="s">
        <v>291</v>
      </c>
      <c r="BC6" s="20" t="s">
        <v>291</v>
      </c>
      <c r="BD6">
        <f t="shared" si="0"/>
        <v>0</v>
      </c>
      <c r="BE6" s="20">
        <f t="shared" si="1"/>
        <v>0</v>
      </c>
      <c r="BG6" s="122" t="s">
        <v>352</v>
      </c>
      <c r="BH6" s="148" t="s">
        <v>456</v>
      </c>
      <c r="BI6" s="130"/>
      <c r="BJ6" s="130"/>
      <c r="BK6">
        <f t="shared" si="2"/>
        <v>20</v>
      </c>
    </row>
    <row r="7" spans="1:63" ht="15.5" x14ac:dyDescent="0.35">
      <c r="A7" t="s">
        <v>22</v>
      </c>
      <c r="B7" s="14" t="s">
        <v>22</v>
      </c>
      <c r="C7" s="14" t="s">
        <v>23</v>
      </c>
      <c r="D7" s="14" t="s">
        <v>13</v>
      </c>
      <c r="E7" s="15" t="s">
        <v>291</v>
      </c>
      <c r="F7" s="15" t="s">
        <v>291</v>
      </c>
      <c r="G7" s="15" t="s">
        <v>291</v>
      </c>
      <c r="H7" s="15" t="s">
        <v>291</v>
      </c>
      <c r="I7" s="15" t="s">
        <v>291</v>
      </c>
      <c r="J7" s="15" t="s">
        <v>291</v>
      </c>
      <c r="K7" s="15" t="s">
        <v>291</v>
      </c>
      <c r="L7" s="15" t="s">
        <v>291</v>
      </c>
      <c r="M7" s="15" t="s">
        <v>291</v>
      </c>
      <c r="N7" s="15" t="s">
        <v>291</v>
      </c>
      <c r="O7" s="23" t="s">
        <v>291</v>
      </c>
      <c r="P7" s="24" t="s">
        <v>291</v>
      </c>
      <c r="Q7" s="24" t="s">
        <v>291</v>
      </c>
      <c r="R7" s="17" t="s">
        <v>291</v>
      </c>
      <c r="S7" s="17" t="s">
        <v>291</v>
      </c>
      <c r="T7" s="17" t="s">
        <v>291</v>
      </c>
      <c r="U7" s="25" t="s">
        <v>291</v>
      </c>
      <c r="V7" s="18" t="s">
        <v>291</v>
      </c>
      <c r="W7" s="19" t="s">
        <v>291</v>
      </c>
      <c r="X7" s="20" t="s">
        <v>291</v>
      </c>
      <c r="Y7" s="20" t="s">
        <v>291</v>
      </c>
      <c r="Z7" s="20" t="s">
        <v>291</v>
      </c>
      <c r="AA7" s="20" t="s">
        <v>291</v>
      </c>
      <c r="AB7" s="20" t="s">
        <v>291</v>
      </c>
      <c r="AC7" s="20" t="s">
        <v>291</v>
      </c>
      <c r="AD7" s="20" t="s">
        <v>291</v>
      </c>
      <c r="AE7" s="20" t="s">
        <v>291</v>
      </c>
      <c r="AF7" s="20" t="s">
        <v>291</v>
      </c>
      <c r="AG7" s="20" t="s">
        <v>291</v>
      </c>
      <c r="AH7" s="20" t="s">
        <v>291</v>
      </c>
      <c r="AI7" s="20" t="s">
        <v>291</v>
      </c>
      <c r="AJ7" s="20" t="s">
        <v>291</v>
      </c>
      <c r="AK7" s="21" t="s">
        <v>291</v>
      </c>
      <c r="AL7" s="26" t="s">
        <v>291</v>
      </c>
      <c r="AM7" s="20" t="s">
        <v>291</v>
      </c>
      <c r="AN7" s="20" t="s">
        <v>291</v>
      </c>
      <c r="AO7" s="20" t="s">
        <v>291</v>
      </c>
      <c r="AP7" s="20" t="s">
        <v>291</v>
      </c>
      <c r="AQ7" s="20" t="s">
        <v>291</v>
      </c>
      <c r="AR7" s="20" t="s">
        <v>291</v>
      </c>
      <c r="AS7" s="20" t="s">
        <v>291</v>
      </c>
      <c r="AT7" s="26" t="s">
        <v>291</v>
      </c>
      <c r="AU7" s="26" t="s">
        <v>291</v>
      </c>
      <c r="AV7" s="26" t="s">
        <v>291</v>
      </c>
      <c r="AW7" s="26" t="s">
        <v>291</v>
      </c>
      <c r="AX7" s="20" t="s">
        <v>291</v>
      </c>
      <c r="AY7" s="20" t="s">
        <v>291</v>
      </c>
      <c r="AZ7" s="26" t="s">
        <v>291</v>
      </c>
      <c r="BA7" s="26" t="s">
        <v>291</v>
      </c>
      <c r="BB7" s="26" t="s">
        <v>291</v>
      </c>
      <c r="BC7" s="20" t="s">
        <v>291</v>
      </c>
      <c r="BD7">
        <f t="shared" si="0"/>
        <v>0</v>
      </c>
      <c r="BE7" s="20">
        <f t="shared" si="1"/>
        <v>0</v>
      </c>
      <c r="BG7" s="122" t="s">
        <v>353</v>
      </c>
      <c r="BH7" s="148" t="s">
        <v>457</v>
      </c>
      <c r="BI7" s="133">
        <v>10</v>
      </c>
      <c r="BJ7" s="133">
        <v>10</v>
      </c>
      <c r="BK7" t="str">
        <f t="shared" si="2"/>
        <v/>
      </c>
    </row>
    <row r="8" spans="1:63" ht="15.5" x14ac:dyDescent="0.35">
      <c r="A8" t="s">
        <v>24</v>
      </c>
      <c r="B8" s="14" t="s">
        <v>24</v>
      </c>
      <c r="C8" s="14" t="s">
        <v>25</v>
      </c>
      <c r="D8" s="14" t="s">
        <v>13</v>
      </c>
      <c r="E8" s="15" t="s">
        <v>291</v>
      </c>
      <c r="F8" s="15" t="s">
        <v>291</v>
      </c>
      <c r="G8" s="15" t="s">
        <v>291</v>
      </c>
      <c r="H8" s="15" t="s">
        <v>291</v>
      </c>
      <c r="I8" s="15" t="s">
        <v>291</v>
      </c>
      <c r="J8" s="15" t="s">
        <v>291</v>
      </c>
      <c r="K8" s="15" t="s">
        <v>291</v>
      </c>
      <c r="L8" s="15" t="s">
        <v>291</v>
      </c>
      <c r="M8" s="15" t="s">
        <v>291</v>
      </c>
      <c r="N8" s="15" t="s">
        <v>291</v>
      </c>
      <c r="O8" s="23" t="s">
        <v>291</v>
      </c>
      <c r="P8" s="24" t="s">
        <v>291</v>
      </c>
      <c r="Q8" s="24" t="s">
        <v>291</v>
      </c>
      <c r="R8" s="17" t="s">
        <v>291</v>
      </c>
      <c r="S8" s="17" t="s">
        <v>291</v>
      </c>
      <c r="T8" s="17" t="s">
        <v>291</v>
      </c>
      <c r="U8" s="25" t="s">
        <v>291</v>
      </c>
      <c r="V8" s="18" t="s">
        <v>291</v>
      </c>
      <c r="W8" s="19" t="s">
        <v>291</v>
      </c>
      <c r="X8" s="20" t="s">
        <v>291</v>
      </c>
      <c r="Y8" s="20" t="s">
        <v>291</v>
      </c>
      <c r="Z8" s="20" t="s">
        <v>291</v>
      </c>
      <c r="AA8" s="20" t="s">
        <v>291</v>
      </c>
      <c r="AB8" s="20" t="s">
        <v>291</v>
      </c>
      <c r="AC8" s="20" t="s">
        <v>291</v>
      </c>
      <c r="AD8" s="20" t="s">
        <v>291</v>
      </c>
      <c r="AE8" s="26" t="s">
        <v>291</v>
      </c>
      <c r="AF8" s="20" t="s">
        <v>291</v>
      </c>
      <c r="AG8" s="20" t="s">
        <v>291</v>
      </c>
      <c r="AH8" s="20" t="s">
        <v>291</v>
      </c>
      <c r="AI8" s="20" t="s">
        <v>291</v>
      </c>
      <c r="AJ8" s="20" t="s">
        <v>292</v>
      </c>
      <c r="AK8" s="21" t="s">
        <v>291</v>
      </c>
      <c r="AL8" s="26" t="s">
        <v>291</v>
      </c>
      <c r="AM8" s="20" t="s">
        <v>291</v>
      </c>
      <c r="AN8" s="20" t="s">
        <v>291</v>
      </c>
      <c r="AO8" s="20" t="s">
        <v>291</v>
      </c>
      <c r="AP8" s="20" t="s">
        <v>291</v>
      </c>
      <c r="AQ8" s="20" t="s">
        <v>291</v>
      </c>
      <c r="AR8" s="20" t="s">
        <v>291</v>
      </c>
      <c r="AS8" s="20" t="s">
        <v>291</v>
      </c>
      <c r="AT8" s="26" t="s">
        <v>291</v>
      </c>
      <c r="AU8" s="26" t="s">
        <v>291</v>
      </c>
      <c r="AV8" s="26" t="s">
        <v>291</v>
      </c>
      <c r="AW8" s="26" t="s">
        <v>291</v>
      </c>
      <c r="AX8" s="20" t="s">
        <v>291</v>
      </c>
      <c r="AY8" s="20" t="s">
        <v>291</v>
      </c>
      <c r="AZ8" s="26" t="s">
        <v>291</v>
      </c>
      <c r="BA8" s="26" t="s">
        <v>291</v>
      </c>
      <c r="BB8" s="26" t="s">
        <v>291</v>
      </c>
      <c r="BC8" s="20" t="s">
        <v>291</v>
      </c>
      <c r="BD8">
        <f t="shared" si="0"/>
        <v>0</v>
      </c>
      <c r="BE8" s="20">
        <f t="shared" si="1"/>
        <v>1</v>
      </c>
      <c r="BG8" s="122" t="s">
        <v>354</v>
      </c>
      <c r="BH8" s="148" t="s">
        <v>458</v>
      </c>
      <c r="BI8" s="130"/>
      <c r="BJ8" s="130"/>
      <c r="BK8">
        <f t="shared" si="2"/>
        <v>20</v>
      </c>
    </row>
    <row r="9" spans="1:63" ht="15.5" x14ac:dyDescent="0.35">
      <c r="A9" t="s">
        <v>26</v>
      </c>
      <c r="B9" s="14" t="s">
        <v>26</v>
      </c>
      <c r="C9" s="14" t="s">
        <v>27</v>
      </c>
      <c r="D9" s="14" t="s">
        <v>13</v>
      </c>
      <c r="E9" s="15" t="s">
        <v>291</v>
      </c>
      <c r="F9" s="15" t="s">
        <v>291</v>
      </c>
      <c r="G9" s="15" t="s">
        <v>291</v>
      </c>
      <c r="H9" s="15" t="s">
        <v>291</v>
      </c>
      <c r="I9" s="15" t="s">
        <v>291</v>
      </c>
      <c r="J9" s="15" t="s">
        <v>291</v>
      </c>
      <c r="K9" s="15" t="s">
        <v>291</v>
      </c>
      <c r="L9" s="15" t="s">
        <v>291</v>
      </c>
      <c r="M9" s="15" t="s">
        <v>291</v>
      </c>
      <c r="N9" s="15" t="s">
        <v>291</v>
      </c>
      <c r="O9" s="23" t="s">
        <v>291</v>
      </c>
      <c r="P9" s="24" t="s">
        <v>291</v>
      </c>
      <c r="Q9" s="24" t="s">
        <v>291</v>
      </c>
      <c r="R9" s="17" t="s">
        <v>291</v>
      </c>
      <c r="S9" s="17" t="s">
        <v>291</v>
      </c>
      <c r="T9" s="17" t="s">
        <v>291</v>
      </c>
      <c r="U9" s="25" t="s">
        <v>291</v>
      </c>
      <c r="V9" s="18" t="s">
        <v>291</v>
      </c>
      <c r="W9" s="19" t="s">
        <v>291</v>
      </c>
      <c r="X9" s="20" t="s">
        <v>291</v>
      </c>
      <c r="Y9" s="20" t="s">
        <v>291</v>
      </c>
      <c r="Z9" s="20" t="s">
        <v>291</v>
      </c>
      <c r="AA9" s="20" t="s">
        <v>291</v>
      </c>
      <c r="AB9" s="20" t="s">
        <v>291</v>
      </c>
      <c r="AC9" s="20" t="s">
        <v>291</v>
      </c>
      <c r="AD9" s="31" t="s">
        <v>285</v>
      </c>
      <c r="AE9" s="26" t="s">
        <v>291</v>
      </c>
      <c r="AF9" s="20" t="s">
        <v>291</v>
      </c>
      <c r="AG9" s="20" t="s">
        <v>291</v>
      </c>
      <c r="AH9" s="20" t="s">
        <v>291</v>
      </c>
      <c r="AI9" s="20" t="s">
        <v>291</v>
      </c>
      <c r="AJ9" s="20" t="s">
        <v>291</v>
      </c>
      <c r="AK9" s="21" t="s">
        <v>291</v>
      </c>
      <c r="AL9" s="26" t="s">
        <v>291</v>
      </c>
      <c r="AM9" s="20" t="s">
        <v>291</v>
      </c>
      <c r="AN9" s="20" t="s">
        <v>291</v>
      </c>
      <c r="AO9" s="20" t="s">
        <v>291</v>
      </c>
      <c r="AP9" s="20" t="s">
        <v>291</v>
      </c>
      <c r="AQ9" s="20" t="s">
        <v>291</v>
      </c>
      <c r="AR9" s="20" t="s">
        <v>291</v>
      </c>
      <c r="AS9" s="20" t="s">
        <v>291</v>
      </c>
      <c r="AT9" s="26" t="s">
        <v>291</v>
      </c>
      <c r="AU9" s="26" t="s">
        <v>291</v>
      </c>
      <c r="AV9" s="26" t="s">
        <v>291</v>
      </c>
      <c r="AW9" s="26" t="s">
        <v>291</v>
      </c>
      <c r="AX9" s="20" t="s">
        <v>291</v>
      </c>
      <c r="AY9" s="20" t="s">
        <v>291</v>
      </c>
      <c r="AZ9" s="26" t="s">
        <v>291</v>
      </c>
      <c r="BA9" s="26" t="s">
        <v>291</v>
      </c>
      <c r="BB9" s="26" t="s">
        <v>291</v>
      </c>
      <c r="BC9" s="20" t="s">
        <v>291</v>
      </c>
      <c r="BD9">
        <f t="shared" si="0"/>
        <v>1</v>
      </c>
      <c r="BE9" s="20">
        <f t="shared" si="1"/>
        <v>0</v>
      </c>
      <c r="BG9" s="122" t="s">
        <v>355</v>
      </c>
      <c r="BH9" s="148" t="s">
        <v>459</v>
      </c>
      <c r="BI9" s="133">
        <v>10</v>
      </c>
      <c r="BJ9" s="133">
        <v>10</v>
      </c>
      <c r="BK9" t="str">
        <f t="shared" si="2"/>
        <v/>
      </c>
    </row>
    <row r="10" spans="1:63" ht="15.5" x14ac:dyDescent="0.35">
      <c r="A10" t="s">
        <v>28</v>
      </c>
      <c r="B10" s="14" t="s">
        <v>28</v>
      </c>
      <c r="C10" s="14" t="s">
        <v>29</v>
      </c>
      <c r="D10" s="14" t="s">
        <v>13</v>
      </c>
      <c r="E10" s="15" t="s">
        <v>291</v>
      </c>
      <c r="F10" s="15" t="s">
        <v>291</v>
      </c>
      <c r="G10" s="15" t="s">
        <v>291</v>
      </c>
      <c r="H10" s="15" t="s">
        <v>291</v>
      </c>
      <c r="I10" s="15" t="s">
        <v>291</v>
      </c>
      <c r="J10" s="15" t="s">
        <v>291</v>
      </c>
      <c r="K10" s="15" t="s">
        <v>291</v>
      </c>
      <c r="L10" s="15" t="s">
        <v>291</v>
      </c>
      <c r="M10" s="15" t="s">
        <v>291</v>
      </c>
      <c r="N10" s="15" t="s">
        <v>291</v>
      </c>
      <c r="O10" s="23" t="s">
        <v>291</v>
      </c>
      <c r="P10" s="24" t="s">
        <v>291</v>
      </c>
      <c r="Q10" s="24" t="s">
        <v>291</v>
      </c>
      <c r="R10" s="17" t="s">
        <v>291</v>
      </c>
      <c r="S10" s="17" t="s">
        <v>291</v>
      </c>
      <c r="T10" s="17" t="s">
        <v>291</v>
      </c>
      <c r="U10" s="25" t="s">
        <v>291</v>
      </c>
      <c r="V10" s="18" t="s">
        <v>291</v>
      </c>
      <c r="W10" s="19" t="s">
        <v>291</v>
      </c>
      <c r="X10" s="20" t="s">
        <v>291</v>
      </c>
      <c r="Y10" s="20" t="s">
        <v>291</v>
      </c>
      <c r="Z10" s="20" t="s">
        <v>291</v>
      </c>
      <c r="AA10" s="20" t="s">
        <v>291</v>
      </c>
      <c r="AB10" s="20" t="s">
        <v>291</v>
      </c>
      <c r="AC10" s="20" t="s">
        <v>291</v>
      </c>
      <c r="AD10" s="20" t="s">
        <v>291</v>
      </c>
      <c r="AE10" s="26" t="s">
        <v>291</v>
      </c>
      <c r="AF10" s="20" t="s">
        <v>291</v>
      </c>
      <c r="AG10" s="20" t="s">
        <v>291</v>
      </c>
      <c r="AH10" s="26" t="s">
        <v>291</v>
      </c>
      <c r="AI10" s="20" t="s">
        <v>291</v>
      </c>
      <c r="AJ10" s="20" t="s">
        <v>291</v>
      </c>
      <c r="AK10" s="21" t="s">
        <v>292</v>
      </c>
      <c r="AL10" s="26" t="s">
        <v>291</v>
      </c>
      <c r="AM10" s="20" t="s">
        <v>291</v>
      </c>
      <c r="AN10" s="20" t="s">
        <v>291</v>
      </c>
      <c r="AO10" s="20" t="s">
        <v>291</v>
      </c>
      <c r="AP10" s="20" t="s">
        <v>291</v>
      </c>
      <c r="AQ10" s="20" t="s">
        <v>291</v>
      </c>
      <c r="AR10" s="20" t="s">
        <v>291</v>
      </c>
      <c r="AS10" s="20" t="s">
        <v>291</v>
      </c>
      <c r="AT10" s="26" t="s">
        <v>291</v>
      </c>
      <c r="AU10" s="26" t="s">
        <v>291</v>
      </c>
      <c r="AV10" s="26" t="s">
        <v>291</v>
      </c>
      <c r="AW10" s="26" t="s">
        <v>291</v>
      </c>
      <c r="AX10" s="20" t="s">
        <v>291</v>
      </c>
      <c r="AY10" s="20" t="s">
        <v>292</v>
      </c>
      <c r="AZ10" s="26" t="s">
        <v>291</v>
      </c>
      <c r="BA10" s="26" t="s">
        <v>291</v>
      </c>
      <c r="BB10" s="26" t="s">
        <v>291</v>
      </c>
      <c r="BC10" s="20" t="s">
        <v>291</v>
      </c>
      <c r="BD10">
        <f t="shared" si="0"/>
        <v>0</v>
      </c>
      <c r="BE10" s="20">
        <f t="shared" si="1"/>
        <v>2</v>
      </c>
      <c r="BG10" s="122" t="s">
        <v>356</v>
      </c>
      <c r="BH10" s="148" t="s">
        <v>460</v>
      </c>
      <c r="BI10" s="133">
        <v>10</v>
      </c>
      <c r="BJ10" s="133">
        <v>10</v>
      </c>
      <c r="BK10" t="str">
        <f t="shared" si="2"/>
        <v/>
      </c>
    </row>
    <row r="11" spans="1:63" ht="15.5" x14ac:dyDescent="0.35">
      <c r="A11" t="s">
        <v>30</v>
      </c>
      <c r="B11" s="14" t="s">
        <v>30</v>
      </c>
      <c r="C11" s="14" t="s">
        <v>31</v>
      </c>
      <c r="D11" s="14" t="s">
        <v>13</v>
      </c>
      <c r="E11" s="15" t="s">
        <v>291</v>
      </c>
      <c r="F11" s="15" t="s">
        <v>291</v>
      </c>
      <c r="G11" s="15" t="s">
        <v>291</v>
      </c>
      <c r="H11" s="15" t="s">
        <v>291</v>
      </c>
      <c r="I11" s="15" t="s">
        <v>291</v>
      </c>
      <c r="J11" s="15" t="s">
        <v>291</v>
      </c>
      <c r="K11" s="15" t="s">
        <v>291</v>
      </c>
      <c r="L11" s="15" t="s">
        <v>291</v>
      </c>
      <c r="M11" s="15" t="s">
        <v>291</v>
      </c>
      <c r="N11" s="15" t="s">
        <v>291</v>
      </c>
      <c r="O11" s="23" t="s">
        <v>291</v>
      </c>
      <c r="P11" s="24" t="s">
        <v>291</v>
      </c>
      <c r="Q11" s="24" t="s">
        <v>291</v>
      </c>
      <c r="R11" s="17" t="s">
        <v>291</v>
      </c>
      <c r="S11" s="17" t="s">
        <v>291</v>
      </c>
      <c r="T11" s="17" t="s">
        <v>291</v>
      </c>
      <c r="U11" s="25" t="s">
        <v>291</v>
      </c>
      <c r="V11" s="18" t="s">
        <v>291</v>
      </c>
      <c r="W11" s="19" t="s">
        <v>291</v>
      </c>
      <c r="X11" s="26" t="s">
        <v>291</v>
      </c>
      <c r="Y11" s="20" t="s">
        <v>291</v>
      </c>
      <c r="Z11" s="20" t="s">
        <v>291</v>
      </c>
      <c r="AA11" s="20" t="s">
        <v>291</v>
      </c>
      <c r="AB11" s="20" t="s">
        <v>291</v>
      </c>
      <c r="AC11" s="20" t="s">
        <v>291</v>
      </c>
      <c r="AD11" s="20" t="s">
        <v>291</v>
      </c>
      <c r="AE11" s="26" t="s">
        <v>291</v>
      </c>
      <c r="AF11" s="20" t="s">
        <v>291</v>
      </c>
      <c r="AG11" s="20" t="s">
        <v>291</v>
      </c>
      <c r="AH11" s="26" t="s">
        <v>291</v>
      </c>
      <c r="AI11" s="20" t="s">
        <v>291</v>
      </c>
      <c r="AJ11" s="20" t="s">
        <v>291</v>
      </c>
      <c r="AK11" s="21" t="s">
        <v>291</v>
      </c>
      <c r="AL11" s="26" t="s">
        <v>291</v>
      </c>
      <c r="AM11" s="20" t="s">
        <v>291</v>
      </c>
      <c r="AN11" s="20" t="s">
        <v>291</v>
      </c>
      <c r="AO11" s="20" t="s">
        <v>291</v>
      </c>
      <c r="AP11" s="20" t="s">
        <v>291</v>
      </c>
      <c r="AQ11" s="20" t="s">
        <v>291</v>
      </c>
      <c r="AR11" s="20" t="s">
        <v>291</v>
      </c>
      <c r="AS11" s="20" t="s">
        <v>291</v>
      </c>
      <c r="AT11" s="26" t="s">
        <v>291</v>
      </c>
      <c r="AU11" s="26" t="s">
        <v>291</v>
      </c>
      <c r="AV11" s="26" t="s">
        <v>291</v>
      </c>
      <c r="AW11" s="26" t="s">
        <v>291</v>
      </c>
      <c r="AX11" s="20" t="s">
        <v>291</v>
      </c>
      <c r="AY11" s="20" t="s">
        <v>291</v>
      </c>
      <c r="AZ11" s="26" t="s">
        <v>291</v>
      </c>
      <c r="BA11" s="26" t="s">
        <v>291</v>
      </c>
      <c r="BB11" s="26" t="s">
        <v>291</v>
      </c>
      <c r="BC11" s="20" t="s">
        <v>291</v>
      </c>
      <c r="BD11">
        <f t="shared" si="0"/>
        <v>0</v>
      </c>
      <c r="BE11" s="20">
        <f t="shared" si="1"/>
        <v>0</v>
      </c>
      <c r="BG11" s="122" t="s">
        <v>30</v>
      </c>
      <c r="BH11" s="148" t="s">
        <v>461</v>
      </c>
      <c r="BI11" s="133">
        <v>10</v>
      </c>
      <c r="BJ11" s="133">
        <v>10</v>
      </c>
      <c r="BK11" t="str">
        <f t="shared" si="2"/>
        <v/>
      </c>
    </row>
    <row r="12" spans="1:63" ht="15.5" x14ac:dyDescent="0.35">
      <c r="A12" t="s">
        <v>32</v>
      </c>
      <c r="B12" s="14" t="s">
        <v>32</v>
      </c>
      <c r="C12" s="14" t="s">
        <v>33</v>
      </c>
      <c r="D12" s="14" t="s">
        <v>13</v>
      </c>
      <c r="E12" s="15" t="s">
        <v>291</v>
      </c>
      <c r="F12" s="15" t="s">
        <v>291</v>
      </c>
      <c r="G12" s="15" t="s">
        <v>291</v>
      </c>
      <c r="H12" s="15" t="s">
        <v>291</v>
      </c>
      <c r="I12" s="15" t="s">
        <v>291</v>
      </c>
      <c r="J12" s="15" t="s">
        <v>291</v>
      </c>
      <c r="K12" s="15" t="s">
        <v>291</v>
      </c>
      <c r="L12" s="15" t="s">
        <v>291</v>
      </c>
      <c r="M12" s="15" t="s">
        <v>291</v>
      </c>
      <c r="N12" s="15" t="s">
        <v>291</v>
      </c>
      <c r="O12" s="23" t="s">
        <v>291</v>
      </c>
      <c r="P12" s="38" t="s">
        <v>285</v>
      </c>
      <c r="Q12" s="38" t="s">
        <v>285</v>
      </c>
      <c r="R12" s="17" t="s">
        <v>291</v>
      </c>
      <c r="S12" s="17" t="s">
        <v>291</v>
      </c>
      <c r="T12" s="17" t="s">
        <v>291</v>
      </c>
      <c r="U12" s="25" t="s">
        <v>291</v>
      </c>
      <c r="V12" s="18" t="s">
        <v>291</v>
      </c>
      <c r="W12" s="19" t="s">
        <v>291</v>
      </c>
      <c r="X12" s="26" t="s">
        <v>291</v>
      </c>
      <c r="Y12" s="20" t="s">
        <v>291</v>
      </c>
      <c r="Z12" s="20" t="s">
        <v>291</v>
      </c>
      <c r="AA12" s="20" t="s">
        <v>291</v>
      </c>
      <c r="AB12" s="20" t="s">
        <v>292</v>
      </c>
      <c r="AC12" s="20" t="s">
        <v>291</v>
      </c>
      <c r="AD12" s="31" t="s">
        <v>285</v>
      </c>
      <c r="AE12" s="26" t="s">
        <v>291</v>
      </c>
      <c r="AF12" s="20" t="s">
        <v>291</v>
      </c>
      <c r="AG12" s="20" t="s">
        <v>291</v>
      </c>
      <c r="AH12" s="26" t="s">
        <v>291</v>
      </c>
      <c r="AI12" s="20" t="s">
        <v>291</v>
      </c>
      <c r="AJ12" s="20" t="s">
        <v>291</v>
      </c>
      <c r="AK12" s="21" t="s">
        <v>291</v>
      </c>
      <c r="AL12" s="26" t="s">
        <v>291</v>
      </c>
      <c r="AM12" s="20" t="s">
        <v>292</v>
      </c>
      <c r="AN12" s="20" t="s">
        <v>292</v>
      </c>
      <c r="AO12" s="31" t="s">
        <v>285</v>
      </c>
      <c r="AP12" s="26" t="s">
        <v>291</v>
      </c>
      <c r="AQ12" s="20" t="s">
        <v>292</v>
      </c>
      <c r="AR12" s="20" t="s">
        <v>292</v>
      </c>
      <c r="AS12" s="20" t="s">
        <v>291</v>
      </c>
      <c r="AT12" s="26" t="s">
        <v>291</v>
      </c>
      <c r="AU12" s="26" t="s">
        <v>291</v>
      </c>
      <c r="AV12" s="29" t="s">
        <v>285</v>
      </c>
      <c r="AW12" s="26" t="s">
        <v>291</v>
      </c>
      <c r="AX12" s="20" t="s">
        <v>292</v>
      </c>
      <c r="AY12" s="20" t="s">
        <v>291</v>
      </c>
      <c r="AZ12" s="26" t="s">
        <v>292</v>
      </c>
      <c r="BA12" s="49" t="s">
        <v>291</v>
      </c>
      <c r="BB12" s="29" t="s">
        <v>285</v>
      </c>
      <c r="BC12" s="20" t="s">
        <v>291</v>
      </c>
      <c r="BD12">
        <f t="shared" si="0"/>
        <v>6</v>
      </c>
      <c r="BE12" s="20">
        <f t="shared" si="1"/>
        <v>7</v>
      </c>
      <c r="BG12" s="122" t="s">
        <v>357</v>
      </c>
      <c r="BH12" s="148" t="s">
        <v>462</v>
      </c>
      <c r="BI12" s="133">
        <v>10</v>
      </c>
      <c r="BJ12" s="133">
        <v>10</v>
      </c>
      <c r="BK12" t="str">
        <f t="shared" si="2"/>
        <v/>
      </c>
    </row>
    <row r="13" spans="1:63" ht="15.5" x14ac:dyDescent="0.35">
      <c r="A13" t="s">
        <v>34</v>
      </c>
      <c r="B13" s="14" t="s">
        <v>34</v>
      </c>
      <c r="C13" s="14" t="s">
        <v>35</v>
      </c>
      <c r="D13" s="14" t="s">
        <v>13</v>
      </c>
      <c r="E13" s="15" t="s">
        <v>291</v>
      </c>
      <c r="F13" s="15" t="s">
        <v>291</v>
      </c>
      <c r="G13" s="15" t="s">
        <v>291</v>
      </c>
      <c r="H13" s="15" t="s">
        <v>291</v>
      </c>
      <c r="I13" s="15" t="s">
        <v>291</v>
      </c>
      <c r="J13" s="15" t="s">
        <v>291</v>
      </c>
      <c r="K13" s="15" t="s">
        <v>291</v>
      </c>
      <c r="L13" s="15" t="s">
        <v>291</v>
      </c>
      <c r="M13" s="15" t="s">
        <v>291</v>
      </c>
      <c r="N13" s="15" t="s">
        <v>291</v>
      </c>
      <c r="O13" s="23" t="s">
        <v>291</v>
      </c>
      <c r="P13" s="24" t="s">
        <v>291</v>
      </c>
      <c r="Q13" s="24" t="s">
        <v>291</v>
      </c>
      <c r="R13" s="17" t="s">
        <v>291</v>
      </c>
      <c r="S13" s="17" t="s">
        <v>291</v>
      </c>
      <c r="T13" s="17" t="s">
        <v>291</v>
      </c>
      <c r="U13" s="25" t="s">
        <v>291</v>
      </c>
      <c r="V13" s="18" t="s">
        <v>291</v>
      </c>
      <c r="W13" s="19" t="s">
        <v>291</v>
      </c>
      <c r="X13" s="26" t="s">
        <v>291</v>
      </c>
      <c r="Y13" s="20" t="s">
        <v>291</v>
      </c>
      <c r="Z13" s="20" t="s">
        <v>291</v>
      </c>
      <c r="AA13" s="20" t="s">
        <v>291</v>
      </c>
      <c r="AB13" s="20" t="s">
        <v>291</v>
      </c>
      <c r="AC13" s="20" t="s">
        <v>291</v>
      </c>
      <c r="AD13" s="20" t="s">
        <v>291</v>
      </c>
      <c r="AE13" s="26" t="s">
        <v>291</v>
      </c>
      <c r="AF13" s="20" t="s">
        <v>291</v>
      </c>
      <c r="AG13" s="20" t="s">
        <v>291</v>
      </c>
      <c r="AH13" s="26" t="s">
        <v>291</v>
      </c>
      <c r="AI13" s="20" t="s">
        <v>291</v>
      </c>
      <c r="AJ13" s="20" t="s">
        <v>291</v>
      </c>
      <c r="AK13" s="21" t="s">
        <v>291</v>
      </c>
      <c r="AL13" s="26" t="s">
        <v>291</v>
      </c>
      <c r="AM13" s="20" t="s">
        <v>291</v>
      </c>
      <c r="AN13" s="20" t="s">
        <v>291</v>
      </c>
      <c r="AO13" s="20" t="s">
        <v>291</v>
      </c>
      <c r="AP13" s="26" t="s">
        <v>291</v>
      </c>
      <c r="AQ13" s="20" t="s">
        <v>291</v>
      </c>
      <c r="AR13" s="20" t="s">
        <v>291</v>
      </c>
      <c r="AS13" s="20" t="s">
        <v>291</v>
      </c>
      <c r="AT13" s="26" t="s">
        <v>291</v>
      </c>
      <c r="AU13" s="26" t="s">
        <v>291</v>
      </c>
      <c r="AV13" s="26" t="s">
        <v>291</v>
      </c>
      <c r="AW13" s="26" t="s">
        <v>291</v>
      </c>
      <c r="AX13" s="20" t="s">
        <v>291</v>
      </c>
      <c r="AY13" s="20" t="s">
        <v>291</v>
      </c>
      <c r="AZ13" s="26" t="s">
        <v>291</v>
      </c>
      <c r="BA13" s="26" t="s">
        <v>291</v>
      </c>
      <c r="BB13" s="26" t="s">
        <v>291</v>
      </c>
      <c r="BC13" s="20" t="s">
        <v>291</v>
      </c>
      <c r="BD13">
        <f t="shared" si="0"/>
        <v>0</v>
      </c>
      <c r="BE13" s="20">
        <f t="shared" si="1"/>
        <v>0</v>
      </c>
      <c r="BG13" s="122" t="s">
        <v>358</v>
      </c>
      <c r="BH13" s="148" t="s">
        <v>463</v>
      </c>
      <c r="BI13" s="130"/>
      <c r="BJ13" s="130"/>
      <c r="BK13">
        <f t="shared" si="2"/>
        <v>20</v>
      </c>
    </row>
    <row r="14" spans="1:63" ht="15.5" x14ac:dyDescent="0.35">
      <c r="A14" t="s">
        <v>36</v>
      </c>
      <c r="B14" s="22" t="s">
        <v>36</v>
      </c>
      <c r="C14" s="13" t="s">
        <v>37</v>
      </c>
      <c r="D14" s="14" t="s">
        <v>13</v>
      </c>
      <c r="E14" s="15" t="s">
        <v>291</v>
      </c>
      <c r="F14" s="15" t="s">
        <v>291</v>
      </c>
      <c r="G14" s="15" t="s">
        <v>291</v>
      </c>
      <c r="H14" s="15" t="s">
        <v>291</v>
      </c>
      <c r="I14" s="15" t="s">
        <v>291</v>
      </c>
      <c r="J14" s="15" t="s">
        <v>291</v>
      </c>
      <c r="K14" s="15" t="s">
        <v>291</v>
      </c>
      <c r="L14" s="15" t="s">
        <v>291</v>
      </c>
      <c r="M14" s="15" t="s">
        <v>291</v>
      </c>
      <c r="N14" s="15" t="s">
        <v>291</v>
      </c>
      <c r="O14" s="23" t="s">
        <v>291</v>
      </c>
      <c r="P14" s="24" t="s">
        <v>291</v>
      </c>
      <c r="Q14" s="24" t="s">
        <v>291</v>
      </c>
      <c r="R14" s="17" t="s">
        <v>291</v>
      </c>
      <c r="S14" s="17" t="s">
        <v>291</v>
      </c>
      <c r="T14" s="17" t="s">
        <v>291</v>
      </c>
      <c r="U14" s="25" t="s">
        <v>291</v>
      </c>
      <c r="V14" s="18" t="s">
        <v>291</v>
      </c>
      <c r="W14" s="19" t="s">
        <v>291</v>
      </c>
      <c r="X14" s="26" t="s">
        <v>291</v>
      </c>
      <c r="Y14" s="20" t="s">
        <v>291</v>
      </c>
      <c r="Z14" s="26" t="s">
        <v>291</v>
      </c>
      <c r="AA14" s="20" t="s">
        <v>291</v>
      </c>
      <c r="AB14" s="20" t="s">
        <v>291</v>
      </c>
      <c r="AC14" s="20" t="s">
        <v>291</v>
      </c>
      <c r="AD14" s="20" t="s">
        <v>291</v>
      </c>
      <c r="AE14" s="26" t="s">
        <v>291</v>
      </c>
      <c r="AF14" s="20" t="s">
        <v>291</v>
      </c>
      <c r="AG14" s="20" t="s">
        <v>291</v>
      </c>
      <c r="AH14" s="26" t="s">
        <v>291</v>
      </c>
      <c r="AI14" s="20" t="s">
        <v>291</v>
      </c>
      <c r="AJ14" s="20" t="s">
        <v>291</v>
      </c>
      <c r="AK14" s="21" t="s">
        <v>291</v>
      </c>
      <c r="AL14" s="26" t="s">
        <v>291</v>
      </c>
      <c r="AM14" s="20" t="s">
        <v>291</v>
      </c>
      <c r="AN14" s="20" t="s">
        <v>291</v>
      </c>
      <c r="AO14" s="20" t="s">
        <v>291</v>
      </c>
      <c r="AP14" s="26" t="s">
        <v>291</v>
      </c>
      <c r="AQ14" s="20" t="s">
        <v>291</v>
      </c>
      <c r="AR14" s="20" t="s">
        <v>291</v>
      </c>
      <c r="AS14" s="20" t="s">
        <v>291</v>
      </c>
      <c r="AT14" s="26" t="s">
        <v>291</v>
      </c>
      <c r="AU14" s="26" t="s">
        <v>291</v>
      </c>
      <c r="AV14" s="26" t="s">
        <v>291</v>
      </c>
      <c r="AW14" s="26" t="s">
        <v>291</v>
      </c>
      <c r="AX14" s="20" t="s">
        <v>291</v>
      </c>
      <c r="AY14" s="20" t="s">
        <v>291</v>
      </c>
      <c r="AZ14" s="26" t="s">
        <v>291</v>
      </c>
      <c r="BA14" s="26" t="s">
        <v>291</v>
      </c>
      <c r="BB14" s="26" t="s">
        <v>291</v>
      </c>
      <c r="BC14" s="20" t="s">
        <v>291</v>
      </c>
      <c r="BD14">
        <f t="shared" si="0"/>
        <v>0</v>
      </c>
      <c r="BE14" s="20">
        <f t="shared" si="1"/>
        <v>0</v>
      </c>
      <c r="BG14" s="122" t="s">
        <v>359</v>
      </c>
      <c r="BH14" s="148" t="s">
        <v>464</v>
      </c>
      <c r="BI14" s="133">
        <v>10</v>
      </c>
      <c r="BJ14" s="133">
        <v>10</v>
      </c>
      <c r="BK14" t="str">
        <f t="shared" si="2"/>
        <v/>
      </c>
    </row>
    <row r="15" spans="1:63" ht="15.5" x14ac:dyDescent="0.35">
      <c r="A15" t="s">
        <v>38</v>
      </c>
      <c r="B15" s="14" t="s">
        <v>38</v>
      </c>
      <c r="C15" s="14" t="s">
        <v>39</v>
      </c>
      <c r="D15" s="14" t="s">
        <v>13</v>
      </c>
      <c r="E15" s="15" t="s">
        <v>291</v>
      </c>
      <c r="F15" s="15" t="s">
        <v>291</v>
      </c>
      <c r="G15" s="15" t="s">
        <v>291</v>
      </c>
      <c r="H15" s="15" t="s">
        <v>291</v>
      </c>
      <c r="I15" s="15" t="s">
        <v>291</v>
      </c>
      <c r="J15" s="15" t="s">
        <v>291</v>
      </c>
      <c r="K15" s="15" t="s">
        <v>291</v>
      </c>
      <c r="L15" s="15" t="s">
        <v>291</v>
      </c>
      <c r="M15" s="15" t="s">
        <v>291</v>
      </c>
      <c r="N15" s="15" t="s">
        <v>291</v>
      </c>
      <c r="O15" s="23" t="s">
        <v>291</v>
      </c>
      <c r="P15" s="24" t="s">
        <v>291</v>
      </c>
      <c r="Q15" s="24" t="s">
        <v>291</v>
      </c>
      <c r="R15" s="17" t="s">
        <v>291</v>
      </c>
      <c r="S15" s="17" t="s">
        <v>291</v>
      </c>
      <c r="T15" s="17" t="s">
        <v>291</v>
      </c>
      <c r="U15" s="25" t="s">
        <v>291</v>
      </c>
      <c r="V15" s="18" t="s">
        <v>292</v>
      </c>
      <c r="W15" s="19" t="s">
        <v>291</v>
      </c>
      <c r="X15" s="26" t="s">
        <v>291</v>
      </c>
      <c r="Y15" s="20" t="s">
        <v>292</v>
      </c>
      <c r="Z15" s="26" t="s">
        <v>291</v>
      </c>
      <c r="AA15" s="20" t="s">
        <v>291</v>
      </c>
      <c r="AB15" s="20" t="s">
        <v>291</v>
      </c>
      <c r="AC15" s="20" t="s">
        <v>291</v>
      </c>
      <c r="AD15" s="20" t="s">
        <v>291</v>
      </c>
      <c r="AE15" s="26" t="s">
        <v>291</v>
      </c>
      <c r="AF15" s="20" t="s">
        <v>291</v>
      </c>
      <c r="AG15" s="20" t="s">
        <v>291</v>
      </c>
      <c r="AH15" s="26" t="s">
        <v>291</v>
      </c>
      <c r="AI15" s="20" t="s">
        <v>291</v>
      </c>
      <c r="AJ15" s="20" t="s">
        <v>292</v>
      </c>
      <c r="AK15" s="21" t="s">
        <v>292</v>
      </c>
      <c r="AL15" s="26" t="s">
        <v>292</v>
      </c>
      <c r="AM15" s="20" t="s">
        <v>292</v>
      </c>
      <c r="AN15" s="20" t="s">
        <v>291</v>
      </c>
      <c r="AO15" s="20" t="s">
        <v>291</v>
      </c>
      <c r="AP15" s="26" t="s">
        <v>291</v>
      </c>
      <c r="AQ15" s="31" t="s">
        <v>285</v>
      </c>
      <c r="AR15" s="20" t="s">
        <v>291</v>
      </c>
      <c r="AS15" s="20" t="s">
        <v>291</v>
      </c>
      <c r="AT15" s="26" t="s">
        <v>291</v>
      </c>
      <c r="AU15" s="26" t="s">
        <v>291</v>
      </c>
      <c r="AV15" s="26" t="s">
        <v>291</v>
      </c>
      <c r="AW15" s="29" t="s">
        <v>285</v>
      </c>
      <c r="AX15" s="20" t="s">
        <v>291</v>
      </c>
      <c r="AY15" s="20" t="s">
        <v>291</v>
      </c>
      <c r="AZ15" s="26" t="s">
        <v>291</v>
      </c>
      <c r="BA15" s="29" t="s">
        <v>285</v>
      </c>
      <c r="BB15" s="26" t="s">
        <v>291</v>
      </c>
      <c r="BC15" s="20" t="s">
        <v>291</v>
      </c>
      <c r="BD15">
        <f t="shared" si="0"/>
        <v>3</v>
      </c>
      <c r="BE15" s="20">
        <f t="shared" si="1"/>
        <v>6</v>
      </c>
      <c r="BG15" s="122" t="s">
        <v>38</v>
      </c>
      <c r="BH15" s="148" t="s">
        <v>39</v>
      </c>
      <c r="BI15" s="130"/>
      <c r="BJ15" s="130"/>
      <c r="BK15">
        <f t="shared" si="2"/>
        <v>20</v>
      </c>
    </row>
    <row r="16" spans="1:63" ht="15.5" x14ac:dyDescent="0.35">
      <c r="A16" t="s">
        <v>40</v>
      </c>
      <c r="B16" s="14" t="s">
        <v>40</v>
      </c>
      <c r="C16" s="14" t="s">
        <v>41</v>
      </c>
      <c r="D16" s="14" t="s">
        <v>13</v>
      </c>
      <c r="E16" s="15" t="s">
        <v>291</v>
      </c>
      <c r="F16" s="15" t="s">
        <v>291</v>
      </c>
      <c r="G16" s="15" t="s">
        <v>291</v>
      </c>
      <c r="H16" s="15" t="s">
        <v>291</v>
      </c>
      <c r="I16" s="15" t="s">
        <v>291</v>
      </c>
      <c r="J16" s="15" t="s">
        <v>291</v>
      </c>
      <c r="K16" s="15" t="s">
        <v>291</v>
      </c>
      <c r="L16" s="15" t="s">
        <v>291</v>
      </c>
      <c r="M16" s="15" t="s">
        <v>291</v>
      </c>
      <c r="N16" s="15" t="s">
        <v>291</v>
      </c>
      <c r="O16" s="23" t="s">
        <v>291</v>
      </c>
      <c r="P16" s="24" t="s">
        <v>291</v>
      </c>
      <c r="Q16" s="24" t="s">
        <v>291</v>
      </c>
      <c r="R16" s="17" t="s">
        <v>291</v>
      </c>
      <c r="S16" s="17" t="s">
        <v>291</v>
      </c>
      <c r="T16" s="17" t="s">
        <v>291</v>
      </c>
      <c r="U16" s="25" t="s">
        <v>291</v>
      </c>
      <c r="V16" s="18" t="s">
        <v>291</v>
      </c>
      <c r="W16" s="19" t="s">
        <v>291</v>
      </c>
      <c r="X16" s="26" t="s">
        <v>291</v>
      </c>
      <c r="Y16" s="20" t="s">
        <v>291</v>
      </c>
      <c r="Z16" s="26" t="s">
        <v>291</v>
      </c>
      <c r="AA16" s="20" t="s">
        <v>291</v>
      </c>
      <c r="AB16" s="20" t="s">
        <v>291</v>
      </c>
      <c r="AC16" s="20" t="s">
        <v>291</v>
      </c>
      <c r="AD16" s="20" t="s">
        <v>292</v>
      </c>
      <c r="AE16" s="26" t="s">
        <v>291</v>
      </c>
      <c r="AF16" s="20" t="s">
        <v>291</v>
      </c>
      <c r="AG16" s="20" t="s">
        <v>291</v>
      </c>
      <c r="AH16" s="26" t="s">
        <v>291</v>
      </c>
      <c r="AI16" s="20" t="s">
        <v>291</v>
      </c>
      <c r="AJ16" s="20" t="s">
        <v>291</v>
      </c>
      <c r="AK16" s="21" t="s">
        <v>291</v>
      </c>
      <c r="AL16" s="26" t="s">
        <v>291</v>
      </c>
      <c r="AM16" s="20" t="s">
        <v>291</v>
      </c>
      <c r="AN16" s="31" t="s">
        <v>285</v>
      </c>
      <c r="AO16" s="31" t="s">
        <v>285</v>
      </c>
      <c r="AP16" s="29" t="s">
        <v>285</v>
      </c>
      <c r="AQ16" s="31" t="s">
        <v>285</v>
      </c>
      <c r="AR16" s="31" t="s">
        <v>285</v>
      </c>
      <c r="AS16" s="20" t="s">
        <v>291</v>
      </c>
      <c r="AT16" s="26" t="s">
        <v>291</v>
      </c>
      <c r="AU16" s="26" t="s">
        <v>291</v>
      </c>
      <c r="AV16" s="26" t="s">
        <v>291</v>
      </c>
      <c r="AW16" s="26" t="s">
        <v>291</v>
      </c>
      <c r="AX16" s="20" t="s">
        <v>291</v>
      </c>
      <c r="AY16" s="20" t="s">
        <v>291</v>
      </c>
      <c r="AZ16" s="26" t="s">
        <v>291</v>
      </c>
      <c r="BA16" s="26" t="s">
        <v>291</v>
      </c>
      <c r="BB16" s="26" t="s">
        <v>291</v>
      </c>
      <c r="BC16" s="20" t="s">
        <v>291</v>
      </c>
      <c r="BD16">
        <f t="shared" si="0"/>
        <v>5</v>
      </c>
      <c r="BE16" s="20">
        <f t="shared" si="1"/>
        <v>1</v>
      </c>
      <c r="BG16" s="122" t="s">
        <v>360</v>
      </c>
      <c r="BH16" s="148" t="s">
        <v>465</v>
      </c>
      <c r="BI16" s="130"/>
      <c r="BJ16" s="130"/>
      <c r="BK16">
        <f t="shared" si="2"/>
        <v>20</v>
      </c>
    </row>
    <row r="17" spans="1:63" ht="15.5" x14ac:dyDescent="0.35">
      <c r="A17" t="s">
        <v>42</v>
      </c>
      <c r="B17" s="14" t="s">
        <v>42</v>
      </c>
      <c r="C17" s="14" t="s">
        <v>43</v>
      </c>
      <c r="D17" s="14" t="s">
        <v>13</v>
      </c>
      <c r="E17" s="15" t="s">
        <v>291</v>
      </c>
      <c r="F17" s="15" t="s">
        <v>291</v>
      </c>
      <c r="G17" s="15" t="s">
        <v>291</v>
      </c>
      <c r="H17" s="15" t="s">
        <v>291</v>
      </c>
      <c r="I17" s="15" t="s">
        <v>291</v>
      </c>
      <c r="J17" s="15" t="s">
        <v>291</v>
      </c>
      <c r="K17" s="15" t="s">
        <v>291</v>
      </c>
      <c r="L17" s="15" t="s">
        <v>291</v>
      </c>
      <c r="M17" s="15" t="s">
        <v>291</v>
      </c>
      <c r="N17" s="15" t="s">
        <v>291</v>
      </c>
      <c r="O17" s="23" t="s">
        <v>291</v>
      </c>
      <c r="P17" s="24" t="s">
        <v>291</v>
      </c>
      <c r="Q17" s="24" t="s">
        <v>291</v>
      </c>
      <c r="R17" s="17" t="s">
        <v>291</v>
      </c>
      <c r="S17" s="17" t="s">
        <v>291</v>
      </c>
      <c r="T17" s="17" t="s">
        <v>291</v>
      </c>
      <c r="U17" s="25" t="s">
        <v>291</v>
      </c>
      <c r="V17" s="18" t="s">
        <v>291</v>
      </c>
      <c r="W17" s="19" t="s">
        <v>291</v>
      </c>
      <c r="X17" s="26" t="s">
        <v>291</v>
      </c>
      <c r="Y17" s="20" t="s">
        <v>291</v>
      </c>
      <c r="Z17" s="26" t="s">
        <v>291</v>
      </c>
      <c r="AA17" s="20" t="s">
        <v>291</v>
      </c>
      <c r="AB17" s="20" t="s">
        <v>291</v>
      </c>
      <c r="AC17" s="20" t="s">
        <v>291</v>
      </c>
      <c r="AD17" s="20" t="s">
        <v>291</v>
      </c>
      <c r="AE17" s="26" t="s">
        <v>291</v>
      </c>
      <c r="AF17" s="20" t="s">
        <v>291</v>
      </c>
      <c r="AG17" s="20" t="s">
        <v>291</v>
      </c>
      <c r="AH17" s="29" t="s">
        <v>285</v>
      </c>
      <c r="AI17" s="20" t="s">
        <v>291</v>
      </c>
      <c r="AJ17" s="20" t="s">
        <v>291</v>
      </c>
      <c r="AK17" s="21" t="s">
        <v>291</v>
      </c>
      <c r="AL17" s="26" t="s">
        <v>291</v>
      </c>
      <c r="AM17" s="20" t="s">
        <v>291</v>
      </c>
      <c r="AN17" s="20" t="s">
        <v>291</v>
      </c>
      <c r="AO17" s="20" t="s">
        <v>291</v>
      </c>
      <c r="AP17" s="26" t="s">
        <v>291</v>
      </c>
      <c r="AQ17" s="20" t="s">
        <v>291</v>
      </c>
      <c r="AR17" s="20" t="s">
        <v>291</v>
      </c>
      <c r="AS17" s="20" t="s">
        <v>291</v>
      </c>
      <c r="AT17" s="26" t="s">
        <v>291</v>
      </c>
      <c r="AU17" s="26" t="s">
        <v>291</v>
      </c>
      <c r="AV17" s="26" t="s">
        <v>291</v>
      </c>
      <c r="AW17" s="26" t="s">
        <v>291</v>
      </c>
      <c r="AX17" s="20" t="s">
        <v>291</v>
      </c>
      <c r="AY17" s="20" t="s">
        <v>291</v>
      </c>
      <c r="AZ17" s="26" t="s">
        <v>291</v>
      </c>
      <c r="BA17" s="26" t="s">
        <v>291</v>
      </c>
      <c r="BB17" s="26" t="s">
        <v>291</v>
      </c>
      <c r="BC17" s="20" t="s">
        <v>291</v>
      </c>
      <c r="BD17">
        <f t="shared" si="0"/>
        <v>1</v>
      </c>
      <c r="BE17" s="20">
        <f t="shared" si="1"/>
        <v>0</v>
      </c>
      <c r="BG17" s="122" t="s">
        <v>42</v>
      </c>
      <c r="BH17" s="148" t="s">
        <v>466</v>
      </c>
      <c r="BI17" s="130"/>
      <c r="BJ17" s="130"/>
      <c r="BK17">
        <f t="shared" si="2"/>
        <v>20</v>
      </c>
    </row>
    <row r="18" spans="1:63" ht="15.5" x14ac:dyDescent="0.35">
      <c r="A18" t="s">
        <v>32</v>
      </c>
      <c r="B18" s="14" t="s">
        <v>32</v>
      </c>
      <c r="C18" s="14" t="s">
        <v>44</v>
      </c>
      <c r="D18" s="14" t="s">
        <v>13</v>
      </c>
      <c r="E18" s="15" t="s">
        <v>291</v>
      </c>
      <c r="F18" s="15" t="s">
        <v>291</v>
      </c>
      <c r="G18" s="15" t="s">
        <v>291</v>
      </c>
      <c r="H18" s="15" t="s">
        <v>291</v>
      </c>
      <c r="I18" s="15" t="s">
        <v>291</v>
      </c>
      <c r="J18" s="15" t="s">
        <v>291</v>
      </c>
      <c r="K18" s="15" t="s">
        <v>291</v>
      </c>
      <c r="L18" s="15" t="s">
        <v>291</v>
      </c>
      <c r="M18" s="15" t="s">
        <v>291</v>
      </c>
      <c r="N18" s="15" t="s">
        <v>291</v>
      </c>
      <c r="O18" s="23" t="s">
        <v>291</v>
      </c>
      <c r="P18" s="24" t="s">
        <v>291</v>
      </c>
      <c r="Q18" s="24" t="s">
        <v>291</v>
      </c>
      <c r="R18" s="17" t="s">
        <v>291</v>
      </c>
      <c r="S18" s="17" t="s">
        <v>291</v>
      </c>
      <c r="T18" s="17" t="s">
        <v>291</v>
      </c>
      <c r="U18" s="25" t="s">
        <v>291</v>
      </c>
      <c r="V18" s="18" t="s">
        <v>291</v>
      </c>
      <c r="W18" s="19" t="s">
        <v>291</v>
      </c>
      <c r="X18" s="26" t="s">
        <v>291</v>
      </c>
      <c r="Y18" s="20" t="s">
        <v>291</v>
      </c>
      <c r="Z18" s="26" t="s">
        <v>291</v>
      </c>
      <c r="AA18" s="20" t="s">
        <v>291</v>
      </c>
      <c r="AB18" s="20" t="s">
        <v>291</v>
      </c>
      <c r="AC18" s="20" t="s">
        <v>291</v>
      </c>
      <c r="AD18" s="20" t="s">
        <v>291</v>
      </c>
      <c r="AE18" s="26" t="s">
        <v>291</v>
      </c>
      <c r="AF18" s="20" t="s">
        <v>291</v>
      </c>
      <c r="AG18" s="20" t="s">
        <v>291</v>
      </c>
      <c r="AH18" s="26" t="s">
        <v>291</v>
      </c>
      <c r="AI18" s="20" t="s">
        <v>291</v>
      </c>
      <c r="AJ18" s="20" t="s">
        <v>291</v>
      </c>
      <c r="AK18" s="21" t="s">
        <v>291</v>
      </c>
      <c r="AL18" s="26" t="s">
        <v>291</v>
      </c>
      <c r="AM18" s="20" t="s">
        <v>291</v>
      </c>
      <c r="AN18" s="20" t="s">
        <v>291</v>
      </c>
      <c r="AO18" s="20" t="s">
        <v>291</v>
      </c>
      <c r="AP18" s="26" t="s">
        <v>291</v>
      </c>
      <c r="AQ18" s="20" t="s">
        <v>291</v>
      </c>
      <c r="AR18" s="20" t="s">
        <v>291</v>
      </c>
      <c r="AS18" s="20" t="s">
        <v>291</v>
      </c>
      <c r="AT18" s="26" t="s">
        <v>291</v>
      </c>
      <c r="AU18" s="26" t="s">
        <v>291</v>
      </c>
      <c r="AV18" s="26" t="s">
        <v>291</v>
      </c>
      <c r="AW18" s="26" t="s">
        <v>291</v>
      </c>
      <c r="AX18" s="20" t="s">
        <v>291</v>
      </c>
      <c r="AY18" s="20" t="s">
        <v>291</v>
      </c>
      <c r="AZ18" s="26" t="s">
        <v>291</v>
      </c>
      <c r="BA18" s="26" t="s">
        <v>291</v>
      </c>
      <c r="BB18" s="26" t="s">
        <v>291</v>
      </c>
      <c r="BC18" s="20" t="s">
        <v>291</v>
      </c>
      <c r="BD18">
        <f t="shared" si="0"/>
        <v>0</v>
      </c>
      <c r="BE18" s="20">
        <f t="shared" si="1"/>
        <v>0</v>
      </c>
      <c r="BG18" s="122" t="s">
        <v>357</v>
      </c>
      <c r="BH18" s="148" t="s">
        <v>467</v>
      </c>
      <c r="BI18" s="130"/>
      <c r="BJ18" s="130"/>
      <c r="BK18">
        <f t="shared" si="2"/>
        <v>20</v>
      </c>
    </row>
    <row r="19" spans="1:63" ht="15.5" x14ac:dyDescent="0.35">
      <c r="A19" t="s">
        <v>45</v>
      </c>
      <c r="B19" s="14" t="s">
        <v>45</v>
      </c>
      <c r="C19" s="14" t="s">
        <v>46</v>
      </c>
      <c r="D19" s="14" t="s">
        <v>13</v>
      </c>
      <c r="E19" s="15" t="s">
        <v>291</v>
      </c>
      <c r="F19" s="15" t="s">
        <v>291</v>
      </c>
      <c r="G19" s="15" t="s">
        <v>291</v>
      </c>
      <c r="H19" s="15" t="s">
        <v>291</v>
      </c>
      <c r="I19" s="15" t="s">
        <v>291</v>
      </c>
      <c r="J19" s="15" t="s">
        <v>291</v>
      </c>
      <c r="K19" s="15" t="s">
        <v>291</v>
      </c>
      <c r="L19" s="15" t="s">
        <v>291</v>
      </c>
      <c r="M19" s="15" t="s">
        <v>291</v>
      </c>
      <c r="N19" s="15" t="s">
        <v>291</v>
      </c>
      <c r="O19" s="23" t="s">
        <v>291</v>
      </c>
      <c r="P19" s="24" t="s">
        <v>291</v>
      </c>
      <c r="Q19" s="24" t="s">
        <v>291</v>
      </c>
      <c r="R19" s="17" t="s">
        <v>291</v>
      </c>
      <c r="S19" s="17" t="s">
        <v>291</v>
      </c>
      <c r="T19" s="17" t="s">
        <v>291</v>
      </c>
      <c r="U19" s="25" t="s">
        <v>291</v>
      </c>
      <c r="V19" s="18" t="s">
        <v>291</v>
      </c>
      <c r="W19" s="19" t="s">
        <v>291</v>
      </c>
      <c r="X19" s="26" t="s">
        <v>291</v>
      </c>
      <c r="Y19" s="20" t="s">
        <v>291</v>
      </c>
      <c r="Z19" s="26" t="s">
        <v>291</v>
      </c>
      <c r="AA19" s="20" t="s">
        <v>291</v>
      </c>
      <c r="AB19" s="20" t="s">
        <v>291</v>
      </c>
      <c r="AC19" s="20" t="s">
        <v>291</v>
      </c>
      <c r="AD19" s="20" t="s">
        <v>291</v>
      </c>
      <c r="AE19" s="26" t="s">
        <v>291</v>
      </c>
      <c r="AF19" s="20" t="s">
        <v>291</v>
      </c>
      <c r="AG19" s="26" t="s">
        <v>291</v>
      </c>
      <c r="AH19" s="26" t="s">
        <v>291</v>
      </c>
      <c r="AI19" s="20" t="s">
        <v>291</v>
      </c>
      <c r="AJ19" s="20" t="s">
        <v>291</v>
      </c>
      <c r="AK19" s="21" t="s">
        <v>291</v>
      </c>
      <c r="AL19" s="26" t="s">
        <v>291</v>
      </c>
      <c r="AM19" s="20" t="s">
        <v>291</v>
      </c>
      <c r="AN19" s="26" t="s">
        <v>291</v>
      </c>
      <c r="AO19" s="20" t="s">
        <v>291</v>
      </c>
      <c r="AP19" s="26" t="s">
        <v>291</v>
      </c>
      <c r="AQ19" s="20" t="s">
        <v>291</v>
      </c>
      <c r="AR19" s="20" t="s">
        <v>291</v>
      </c>
      <c r="AS19" s="20" t="s">
        <v>291</v>
      </c>
      <c r="AT19" s="26" t="s">
        <v>291</v>
      </c>
      <c r="AU19" s="26" t="s">
        <v>291</v>
      </c>
      <c r="AV19" s="26" t="s">
        <v>291</v>
      </c>
      <c r="AW19" s="26" t="s">
        <v>291</v>
      </c>
      <c r="AX19" s="26" t="s">
        <v>291</v>
      </c>
      <c r="AY19" s="20" t="s">
        <v>291</v>
      </c>
      <c r="AZ19" s="26" t="s">
        <v>291</v>
      </c>
      <c r="BA19" s="26" t="s">
        <v>291</v>
      </c>
      <c r="BB19" s="26" t="s">
        <v>291</v>
      </c>
      <c r="BC19" s="20" t="s">
        <v>291</v>
      </c>
      <c r="BD19">
        <f t="shared" si="0"/>
        <v>0</v>
      </c>
      <c r="BE19" s="20">
        <f t="shared" si="1"/>
        <v>0</v>
      </c>
      <c r="BG19" s="123" t="s">
        <v>361</v>
      </c>
      <c r="BH19" s="109" t="s">
        <v>468</v>
      </c>
      <c r="BI19" s="130"/>
      <c r="BJ19" s="130"/>
      <c r="BK19">
        <f t="shared" si="2"/>
        <v>20</v>
      </c>
    </row>
    <row r="20" spans="1:63" ht="15.5" x14ac:dyDescent="0.35">
      <c r="A20" t="s">
        <v>47</v>
      </c>
      <c r="B20" s="14" t="s">
        <v>47</v>
      </c>
      <c r="C20" s="14" t="s">
        <v>48</v>
      </c>
      <c r="D20" s="14" t="s">
        <v>13</v>
      </c>
      <c r="E20" s="15" t="s">
        <v>291</v>
      </c>
      <c r="F20" s="15" t="s">
        <v>291</v>
      </c>
      <c r="G20" s="15" t="s">
        <v>291</v>
      </c>
      <c r="H20" s="15" t="s">
        <v>291</v>
      </c>
      <c r="I20" s="15" t="s">
        <v>291</v>
      </c>
      <c r="J20" s="15" t="s">
        <v>291</v>
      </c>
      <c r="K20" s="15" t="s">
        <v>291</v>
      </c>
      <c r="L20" s="15" t="s">
        <v>291</v>
      </c>
      <c r="M20" s="15" t="s">
        <v>291</v>
      </c>
      <c r="N20" s="15" t="s">
        <v>291</v>
      </c>
      <c r="O20" s="23" t="s">
        <v>291</v>
      </c>
      <c r="P20" s="24" t="s">
        <v>291</v>
      </c>
      <c r="Q20" s="24" t="s">
        <v>291</v>
      </c>
      <c r="R20" s="24" t="s">
        <v>291</v>
      </c>
      <c r="S20" s="17" t="s">
        <v>291</v>
      </c>
      <c r="T20" s="17" t="s">
        <v>291</v>
      </c>
      <c r="U20" s="25" t="s">
        <v>291</v>
      </c>
      <c r="V20" s="25" t="s">
        <v>291</v>
      </c>
      <c r="W20" s="19" t="s">
        <v>291</v>
      </c>
      <c r="X20" s="26" t="s">
        <v>291</v>
      </c>
      <c r="Y20" s="20" t="s">
        <v>291</v>
      </c>
      <c r="Z20" s="26" t="s">
        <v>291</v>
      </c>
      <c r="AA20" s="20" t="s">
        <v>291</v>
      </c>
      <c r="AB20" s="20" t="s">
        <v>291</v>
      </c>
      <c r="AC20" s="20" t="s">
        <v>291</v>
      </c>
      <c r="AD20" s="20" t="s">
        <v>291</v>
      </c>
      <c r="AE20" s="26" t="s">
        <v>291</v>
      </c>
      <c r="AF20" s="20" t="s">
        <v>291</v>
      </c>
      <c r="AG20" s="26" t="s">
        <v>291</v>
      </c>
      <c r="AH20" s="26" t="s">
        <v>291</v>
      </c>
      <c r="AI20" s="20" t="s">
        <v>291</v>
      </c>
      <c r="AJ20" s="20" t="s">
        <v>291</v>
      </c>
      <c r="AK20" s="20" t="s">
        <v>291</v>
      </c>
      <c r="AL20" s="26" t="s">
        <v>291</v>
      </c>
      <c r="AM20" s="20" t="s">
        <v>291</v>
      </c>
      <c r="AN20" s="26" t="s">
        <v>291</v>
      </c>
      <c r="AO20" s="20" t="s">
        <v>291</v>
      </c>
      <c r="AP20" s="26" t="s">
        <v>291</v>
      </c>
      <c r="AQ20" s="20" t="s">
        <v>291</v>
      </c>
      <c r="AR20" s="20" t="s">
        <v>291</v>
      </c>
      <c r="AS20" s="20" t="s">
        <v>291</v>
      </c>
      <c r="AT20" s="26" t="s">
        <v>291</v>
      </c>
      <c r="AU20" s="26" t="s">
        <v>291</v>
      </c>
      <c r="AV20" s="26" t="s">
        <v>291</v>
      </c>
      <c r="AW20" s="26" t="s">
        <v>291</v>
      </c>
      <c r="AX20" s="26" t="s">
        <v>291</v>
      </c>
      <c r="AY20" s="20" t="s">
        <v>291</v>
      </c>
      <c r="AZ20" s="26" t="s">
        <v>291</v>
      </c>
      <c r="BA20" s="26" t="s">
        <v>291</v>
      </c>
      <c r="BB20" s="26" t="s">
        <v>291</v>
      </c>
      <c r="BC20" s="20" t="s">
        <v>291</v>
      </c>
      <c r="BD20">
        <f t="shared" si="0"/>
        <v>0</v>
      </c>
      <c r="BE20" s="20">
        <f t="shared" si="1"/>
        <v>0</v>
      </c>
      <c r="BG20" s="124" t="s">
        <v>362</v>
      </c>
      <c r="BH20" s="149" t="s">
        <v>469</v>
      </c>
      <c r="BI20" s="130"/>
      <c r="BJ20" s="130"/>
      <c r="BK20">
        <f t="shared" si="2"/>
        <v>20</v>
      </c>
    </row>
    <row r="21" spans="1:63" ht="15.5" x14ac:dyDescent="0.35">
      <c r="A21" t="s">
        <v>49</v>
      </c>
      <c r="B21" s="14" t="s">
        <v>49</v>
      </c>
      <c r="C21" s="14" t="s">
        <v>50</v>
      </c>
      <c r="D21" s="14" t="s">
        <v>13</v>
      </c>
      <c r="E21" s="15" t="s">
        <v>291</v>
      </c>
      <c r="F21" s="15" t="s">
        <v>291</v>
      </c>
      <c r="G21" s="15" t="s">
        <v>291</v>
      </c>
      <c r="H21" s="15" t="s">
        <v>291</v>
      </c>
      <c r="I21" s="15" t="s">
        <v>291</v>
      </c>
      <c r="J21" s="15" t="s">
        <v>291</v>
      </c>
      <c r="K21" s="15" t="s">
        <v>291</v>
      </c>
      <c r="L21" s="15" t="s">
        <v>291</v>
      </c>
      <c r="M21" s="15" t="s">
        <v>291</v>
      </c>
      <c r="N21" s="15" t="s">
        <v>291</v>
      </c>
      <c r="O21" s="23" t="s">
        <v>291</v>
      </c>
      <c r="P21" s="24" t="s">
        <v>291</v>
      </c>
      <c r="Q21" s="24" t="s">
        <v>291</v>
      </c>
      <c r="R21" s="24" t="s">
        <v>291</v>
      </c>
      <c r="S21" s="17" t="s">
        <v>291</v>
      </c>
      <c r="T21" s="17" t="s">
        <v>291</v>
      </c>
      <c r="U21" s="25" t="s">
        <v>291</v>
      </c>
      <c r="V21" s="25" t="s">
        <v>291</v>
      </c>
      <c r="W21" s="19" t="s">
        <v>291</v>
      </c>
      <c r="X21" s="26" t="s">
        <v>291</v>
      </c>
      <c r="Y21" s="20" t="s">
        <v>291</v>
      </c>
      <c r="Z21" s="26" t="s">
        <v>291</v>
      </c>
      <c r="AA21" s="20" t="s">
        <v>291</v>
      </c>
      <c r="AB21" s="20" t="s">
        <v>291</v>
      </c>
      <c r="AC21" s="20" t="s">
        <v>291</v>
      </c>
      <c r="AD21" s="20" t="s">
        <v>291</v>
      </c>
      <c r="AE21" s="26" t="s">
        <v>291</v>
      </c>
      <c r="AF21" s="20" t="s">
        <v>291</v>
      </c>
      <c r="AG21" s="26" t="s">
        <v>291</v>
      </c>
      <c r="AH21" s="26" t="s">
        <v>291</v>
      </c>
      <c r="AI21" s="20" t="s">
        <v>291</v>
      </c>
      <c r="AJ21" s="20" t="s">
        <v>292</v>
      </c>
      <c r="AK21" s="21" t="s">
        <v>291</v>
      </c>
      <c r="AL21" s="26" t="s">
        <v>291</v>
      </c>
      <c r="AM21" s="20" t="s">
        <v>291</v>
      </c>
      <c r="AN21" s="29" t="s">
        <v>285</v>
      </c>
      <c r="AO21" s="20" t="s">
        <v>291</v>
      </c>
      <c r="AP21" s="26" t="s">
        <v>291</v>
      </c>
      <c r="AQ21" s="31" t="s">
        <v>285</v>
      </c>
      <c r="AR21" s="20" t="s">
        <v>291</v>
      </c>
      <c r="AS21" s="20" t="s">
        <v>291</v>
      </c>
      <c r="AT21" s="26" t="s">
        <v>291</v>
      </c>
      <c r="AU21" s="26" t="s">
        <v>291</v>
      </c>
      <c r="AV21" s="26" t="s">
        <v>292</v>
      </c>
      <c r="AW21" s="26" t="s">
        <v>291</v>
      </c>
      <c r="AX21" s="26" t="s">
        <v>292</v>
      </c>
      <c r="AY21" s="20" t="s">
        <v>291</v>
      </c>
      <c r="AZ21" s="26" t="s">
        <v>291</v>
      </c>
      <c r="BA21" s="26" t="s">
        <v>291</v>
      </c>
      <c r="BB21" s="26" t="s">
        <v>291</v>
      </c>
      <c r="BC21" s="20" t="s">
        <v>291</v>
      </c>
      <c r="BD21">
        <f t="shared" si="0"/>
        <v>2</v>
      </c>
      <c r="BE21" s="20">
        <f t="shared" si="1"/>
        <v>3</v>
      </c>
      <c r="BG21" s="1" t="s">
        <v>363</v>
      </c>
      <c r="BH21" s="147" t="s">
        <v>470</v>
      </c>
      <c r="BI21" s="130"/>
      <c r="BJ21" s="130"/>
      <c r="BK21">
        <f t="shared" si="2"/>
        <v>20</v>
      </c>
    </row>
    <row r="22" spans="1:63" ht="15.5" x14ac:dyDescent="0.35">
      <c r="A22" t="s">
        <v>38</v>
      </c>
      <c r="B22" s="36" t="s">
        <v>38</v>
      </c>
      <c r="C22" s="36" t="s">
        <v>51</v>
      </c>
      <c r="D22" s="14" t="s">
        <v>13</v>
      </c>
      <c r="E22" s="15" t="s">
        <v>291</v>
      </c>
      <c r="F22" s="15" t="s">
        <v>291</v>
      </c>
      <c r="G22" s="15" t="s">
        <v>291</v>
      </c>
      <c r="H22" s="15" t="s">
        <v>292</v>
      </c>
      <c r="I22" s="15" t="s">
        <v>291</v>
      </c>
      <c r="J22" s="15" t="s">
        <v>291</v>
      </c>
      <c r="K22" s="15" t="s">
        <v>291</v>
      </c>
      <c r="L22" s="15" t="s">
        <v>291</v>
      </c>
      <c r="M22" s="15" t="s">
        <v>291</v>
      </c>
      <c r="N22" s="15" t="s">
        <v>291</v>
      </c>
      <c r="O22" s="23" t="s">
        <v>291</v>
      </c>
      <c r="P22" s="24" t="s">
        <v>291</v>
      </c>
      <c r="Q22" s="24" t="s">
        <v>291</v>
      </c>
      <c r="R22" s="24" t="s">
        <v>291</v>
      </c>
      <c r="S22" s="17" t="s">
        <v>291</v>
      </c>
      <c r="T22" s="17" t="s">
        <v>291</v>
      </c>
      <c r="U22" s="25" t="s">
        <v>291</v>
      </c>
      <c r="V22" s="25" t="s">
        <v>291</v>
      </c>
      <c r="W22" s="19" t="s">
        <v>291</v>
      </c>
      <c r="X22" s="26" t="s">
        <v>291</v>
      </c>
      <c r="Y22" s="26" t="s">
        <v>291</v>
      </c>
      <c r="Z22" s="26" t="s">
        <v>291</v>
      </c>
      <c r="AA22" s="20" t="s">
        <v>291</v>
      </c>
      <c r="AB22" s="20" t="s">
        <v>291</v>
      </c>
      <c r="AC22" s="20" t="s">
        <v>291</v>
      </c>
      <c r="AD22" s="20" t="s">
        <v>291</v>
      </c>
      <c r="AE22" s="26" t="s">
        <v>291</v>
      </c>
      <c r="AF22" s="20" t="s">
        <v>291</v>
      </c>
      <c r="AG22" s="26" t="s">
        <v>291</v>
      </c>
      <c r="AH22" s="26" t="s">
        <v>291</v>
      </c>
      <c r="AI22" s="20" t="s">
        <v>291</v>
      </c>
      <c r="AJ22" s="20" t="s">
        <v>291</v>
      </c>
      <c r="AK22" s="21" t="s">
        <v>291</v>
      </c>
      <c r="AL22" s="26" t="s">
        <v>291</v>
      </c>
      <c r="AM22" s="20" t="s">
        <v>291</v>
      </c>
      <c r="AN22" s="26" t="s">
        <v>291</v>
      </c>
      <c r="AO22" s="26" t="s">
        <v>291</v>
      </c>
      <c r="AP22" s="26" t="s">
        <v>291</v>
      </c>
      <c r="AQ22" s="20" t="s">
        <v>291</v>
      </c>
      <c r="AR22" s="20" t="s">
        <v>291</v>
      </c>
      <c r="AS22" s="20" t="s">
        <v>291</v>
      </c>
      <c r="AT22" s="26" t="s">
        <v>291</v>
      </c>
      <c r="AU22" s="26" t="s">
        <v>291</v>
      </c>
      <c r="AV22" s="26" t="s">
        <v>291</v>
      </c>
      <c r="AW22" s="26" t="s">
        <v>291</v>
      </c>
      <c r="AX22" s="26" t="s">
        <v>291</v>
      </c>
      <c r="AY22" s="20" t="s">
        <v>291</v>
      </c>
      <c r="AZ22" s="26" t="s">
        <v>291</v>
      </c>
      <c r="BA22" s="26" t="s">
        <v>291</v>
      </c>
      <c r="BB22" s="26" t="s">
        <v>291</v>
      </c>
      <c r="BC22" s="20" t="s">
        <v>291</v>
      </c>
      <c r="BD22">
        <f t="shared" si="0"/>
        <v>0</v>
      </c>
      <c r="BE22" s="20">
        <f t="shared" si="1"/>
        <v>1</v>
      </c>
      <c r="BG22" s="122" t="s">
        <v>364</v>
      </c>
      <c r="BH22" s="148" t="s">
        <v>445</v>
      </c>
      <c r="BI22" s="130"/>
      <c r="BJ22" s="130"/>
      <c r="BK22">
        <f t="shared" si="2"/>
        <v>20</v>
      </c>
    </row>
    <row r="23" spans="1:63" ht="15.5" x14ac:dyDescent="0.35">
      <c r="A23" t="s">
        <v>52</v>
      </c>
      <c r="B23" s="36" t="s">
        <v>52</v>
      </c>
      <c r="C23" s="36" t="s">
        <v>53</v>
      </c>
      <c r="D23" s="14" t="s">
        <v>13</v>
      </c>
      <c r="E23" s="15" t="s">
        <v>291</v>
      </c>
      <c r="F23" s="15" t="s">
        <v>291</v>
      </c>
      <c r="G23" s="15" t="s">
        <v>291</v>
      </c>
      <c r="H23" s="15" t="s">
        <v>291</v>
      </c>
      <c r="I23" s="15" t="s">
        <v>291</v>
      </c>
      <c r="J23" s="15" t="s">
        <v>291</v>
      </c>
      <c r="K23" s="15" t="s">
        <v>291</v>
      </c>
      <c r="L23" s="15" t="s">
        <v>291</v>
      </c>
      <c r="M23" s="15" t="s">
        <v>291</v>
      </c>
      <c r="N23" s="15" t="s">
        <v>291</v>
      </c>
      <c r="O23" s="23" t="s">
        <v>291</v>
      </c>
      <c r="P23" s="24" t="s">
        <v>291</v>
      </c>
      <c r="Q23" s="24" t="s">
        <v>291</v>
      </c>
      <c r="R23" s="24" t="s">
        <v>291</v>
      </c>
      <c r="S23" s="37" t="s">
        <v>285</v>
      </c>
      <c r="T23" s="17" t="s">
        <v>291</v>
      </c>
      <c r="U23" s="25" t="s">
        <v>291</v>
      </c>
      <c r="V23" s="25" t="s">
        <v>291</v>
      </c>
      <c r="W23" s="19" t="s">
        <v>291</v>
      </c>
      <c r="X23" s="26" t="s">
        <v>291</v>
      </c>
      <c r="Y23" s="26" t="s">
        <v>291</v>
      </c>
      <c r="Z23" s="26" t="s">
        <v>291</v>
      </c>
      <c r="AA23" s="20" t="s">
        <v>291</v>
      </c>
      <c r="AB23" s="20" t="s">
        <v>291</v>
      </c>
      <c r="AC23" s="20" t="s">
        <v>291</v>
      </c>
      <c r="AD23" s="20" t="s">
        <v>291</v>
      </c>
      <c r="AE23" s="26" t="s">
        <v>291</v>
      </c>
      <c r="AF23" s="20" t="s">
        <v>291</v>
      </c>
      <c r="AG23" s="26" t="s">
        <v>291</v>
      </c>
      <c r="AH23" s="26" t="s">
        <v>291</v>
      </c>
      <c r="AI23" s="20" t="s">
        <v>291</v>
      </c>
      <c r="AJ23" s="20" t="s">
        <v>291</v>
      </c>
      <c r="AK23" s="21" t="s">
        <v>291</v>
      </c>
      <c r="AL23" s="26" t="s">
        <v>291</v>
      </c>
      <c r="AM23" s="20" t="s">
        <v>291</v>
      </c>
      <c r="AN23" s="26" t="s">
        <v>291</v>
      </c>
      <c r="AO23" s="26" t="s">
        <v>292</v>
      </c>
      <c r="AP23" s="26" t="s">
        <v>291</v>
      </c>
      <c r="AQ23" s="20" t="s">
        <v>291</v>
      </c>
      <c r="AR23" s="20" t="s">
        <v>291</v>
      </c>
      <c r="AS23" s="20" t="s">
        <v>292</v>
      </c>
      <c r="AT23" s="26" t="s">
        <v>291</v>
      </c>
      <c r="AU23" s="29" t="s">
        <v>285</v>
      </c>
      <c r="AV23" s="29" t="s">
        <v>285</v>
      </c>
      <c r="AW23" s="26" t="s">
        <v>292</v>
      </c>
      <c r="AX23" s="26" t="s">
        <v>291</v>
      </c>
      <c r="AY23" s="20" t="s">
        <v>291</v>
      </c>
      <c r="AZ23" s="26" t="s">
        <v>291</v>
      </c>
      <c r="BA23" s="26" t="s">
        <v>291</v>
      </c>
      <c r="BB23" s="26" t="s">
        <v>292</v>
      </c>
      <c r="BC23" s="20" t="s">
        <v>291</v>
      </c>
      <c r="BD23">
        <f t="shared" si="0"/>
        <v>3</v>
      </c>
      <c r="BE23" s="20">
        <f t="shared" si="1"/>
        <v>4</v>
      </c>
      <c r="BG23" s="123" t="s">
        <v>365</v>
      </c>
      <c r="BH23" s="109" t="s">
        <v>446</v>
      </c>
      <c r="BI23" s="133">
        <v>10</v>
      </c>
      <c r="BJ23" s="133">
        <v>10</v>
      </c>
      <c r="BK23" t="str">
        <f t="shared" si="2"/>
        <v/>
      </c>
    </row>
    <row r="24" spans="1:63" ht="15.5" x14ac:dyDescent="0.35">
      <c r="A24" t="s">
        <v>54</v>
      </c>
      <c r="B24" s="36" t="s">
        <v>54</v>
      </c>
      <c r="C24" s="36" t="s">
        <v>55</v>
      </c>
      <c r="D24" s="14" t="s">
        <v>13</v>
      </c>
      <c r="E24" s="15" t="s">
        <v>291</v>
      </c>
      <c r="F24" s="15" t="s">
        <v>291</v>
      </c>
      <c r="G24" s="15" t="s">
        <v>291</v>
      </c>
      <c r="H24" s="15" t="s">
        <v>291</v>
      </c>
      <c r="I24" s="15" t="s">
        <v>291</v>
      </c>
      <c r="J24" s="15" t="s">
        <v>291</v>
      </c>
      <c r="K24" s="15" t="s">
        <v>291</v>
      </c>
      <c r="L24" s="15" t="s">
        <v>291</v>
      </c>
      <c r="M24" s="15" t="s">
        <v>291</v>
      </c>
      <c r="N24" s="15" t="s">
        <v>291</v>
      </c>
      <c r="O24" s="23" t="s">
        <v>291</v>
      </c>
      <c r="P24" s="24" t="s">
        <v>291</v>
      </c>
      <c r="Q24" s="24" t="s">
        <v>291</v>
      </c>
      <c r="R24" s="24" t="s">
        <v>291</v>
      </c>
      <c r="S24" s="17" t="s">
        <v>291</v>
      </c>
      <c r="T24" s="17" t="s">
        <v>291</v>
      </c>
      <c r="U24" s="25" t="s">
        <v>291</v>
      </c>
      <c r="V24" s="25" t="s">
        <v>291</v>
      </c>
      <c r="W24" s="19" t="s">
        <v>291</v>
      </c>
      <c r="X24" s="26" t="s">
        <v>291</v>
      </c>
      <c r="Y24" s="26" t="s">
        <v>291</v>
      </c>
      <c r="Z24" s="26" t="s">
        <v>291</v>
      </c>
      <c r="AA24" s="20" t="s">
        <v>291</v>
      </c>
      <c r="AB24" s="20" t="s">
        <v>291</v>
      </c>
      <c r="AC24" s="20" t="s">
        <v>291</v>
      </c>
      <c r="AD24" s="20" t="s">
        <v>291</v>
      </c>
      <c r="AE24" s="26" t="s">
        <v>291</v>
      </c>
      <c r="AF24" s="20" t="s">
        <v>291</v>
      </c>
      <c r="AG24" s="26" t="s">
        <v>291</v>
      </c>
      <c r="AH24" s="26" t="s">
        <v>291</v>
      </c>
      <c r="AI24" s="20" t="s">
        <v>291</v>
      </c>
      <c r="AJ24" s="20" t="s">
        <v>291</v>
      </c>
      <c r="AK24" s="21" t="s">
        <v>291</v>
      </c>
      <c r="AL24" s="26" t="s">
        <v>291</v>
      </c>
      <c r="AM24" s="20" t="s">
        <v>291</v>
      </c>
      <c r="AN24" s="26" t="s">
        <v>291</v>
      </c>
      <c r="AO24" s="26" t="s">
        <v>291</v>
      </c>
      <c r="AP24" s="26" t="s">
        <v>291</v>
      </c>
      <c r="AQ24" s="20" t="s">
        <v>291</v>
      </c>
      <c r="AR24" s="20" t="s">
        <v>291</v>
      </c>
      <c r="AS24" s="20" t="s">
        <v>291</v>
      </c>
      <c r="AT24" s="26" t="s">
        <v>291</v>
      </c>
      <c r="AU24" s="26" t="s">
        <v>291</v>
      </c>
      <c r="AV24" s="26" t="s">
        <v>291</v>
      </c>
      <c r="AW24" s="26" t="s">
        <v>291</v>
      </c>
      <c r="AX24" s="26" t="s">
        <v>291</v>
      </c>
      <c r="AY24" s="20" t="s">
        <v>291</v>
      </c>
      <c r="AZ24" s="26" t="s">
        <v>291</v>
      </c>
      <c r="BA24" s="26" t="s">
        <v>291</v>
      </c>
      <c r="BB24" s="26" t="s">
        <v>291</v>
      </c>
      <c r="BC24" s="20" t="s">
        <v>291</v>
      </c>
      <c r="BD24">
        <f t="shared" si="0"/>
        <v>0</v>
      </c>
      <c r="BE24" s="20">
        <f t="shared" si="1"/>
        <v>0</v>
      </c>
      <c r="BG24" s="2" t="s">
        <v>366</v>
      </c>
      <c r="BH24" s="147" t="s">
        <v>471</v>
      </c>
      <c r="BI24" s="133">
        <v>10</v>
      </c>
      <c r="BJ24" s="133">
        <v>10</v>
      </c>
      <c r="BK24" t="str">
        <f t="shared" si="2"/>
        <v/>
      </c>
    </row>
    <row r="25" spans="1:63" ht="15.5" x14ac:dyDescent="0.35">
      <c r="A25" t="s">
        <v>56</v>
      </c>
      <c r="B25" s="14" t="s">
        <v>56</v>
      </c>
      <c r="C25" s="14" t="s">
        <v>57</v>
      </c>
      <c r="D25" s="14" t="s">
        <v>13</v>
      </c>
      <c r="E25" s="15" t="s">
        <v>291</v>
      </c>
      <c r="F25" s="15" t="s">
        <v>291</v>
      </c>
      <c r="G25" s="15" t="s">
        <v>291</v>
      </c>
      <c r="H25" s="15" t="s">
        <v>291</v>
      </c>
      <c r="I25" s="15" t="s">
        <v>291</v>
      </c>
      <c r="J25" s="15" t="s">
        <v>291</v>
      </c>
      <c r="K25" s="15" t="s">
        <v>291</v>
      </c>
      <c r="L25" s="15" t="s">
        <v>291</v>
      </c>
      <c r="M25" s="15" t="s">
        <v>291</v>
      </c>
      <c r="N25" s="15" t="s">
        <v>291</v>
      </c>
      <c r="O25" s="23" t="s">
        <v>291</v>
      </c>
      <c r="P25" s="24" t="s">
        <v>291</v>
      </c>
      <c r="Q25" s="24" t="s">
        <v>291</v>
      </c>
      <c r="R25" s="24" t="s">
        <v>291</v>
      </c>
      <c r="S25" s="17" t="s">
        <v>291</v>
      </c>
      <c r="T25" s="17" t="s">
        <v>291</v>
      </c>
      <c r="U25" s="25" t="s">
        <v>291</v>
      </c>
      <c r="V25" s="25" t="s">
        <v>291</v>
      </c>
      <c r="W25" s="19" t="s">
        <v>291</v>
      </c>
      <c r="X25" s="26" t="s">
        <v>291</v>
      </c>
      <c r="Y25" s="26" t="s">
        <v>291</v>
      </c>
      <c r="Z25" s="26" t="s">
        <v>291</v>
      </c>
      <c r="AA25" s="20" t="s">
        <v>291</v>
      </c>
      <c r="AB25" s="20" t="s">
        <v>291</v>
      </c>
      <c r="AC25" s="20" t="s">
        <v>291</v>
      </c>
      <c r="AD25" s="20" t="s">
        <v>291</v>
      </c>
      <c r="AE25" s="26" t="s">
        <v>291</v>
      </c>
      <c r="AF25" s="20" t="s">
        <v>291</v>
      </c>
      <c r="AG25" s="26" t="s">
        <v>291</v>
      </c>
      <c r="AH25" s="26" t="s">
        <v>291</v>
      </c>
      <c r="AI25" s="20" t="s">
        <v>291</v>
      </c>
      <c r="AJ25" s="20" t="s">
        <v>291</v>
      </c>
      <c r="AK25" s="27" t="s">
        <v>291</v>
      </c>
      <c r="AL25" s="26" t="s">
        <v>291</v>
      </c>
      <c r="AM25" s="20" t="s">
        <v>291</v>
      </c>
      <c r="AN25" s="26" t="s">
        <v>291</v>
      </c>
      <c r="AO25" s="26" t="s">
        <v>291</v>
      </c>
      <c r="AP25" s="26" t="s">
        <v>291</v>
      </c>
      <c r="AQ25" s="20" t="s">
        <v>291</v>
      </c>
      <c r="AR25" s="20" t="s">
        <v>291</v>
      </c>
      <c r="AS25" s="31" t="s">
        <v>285</v>
      </c>
      <c r="AT25" s="26" t="s">
        <v>291</v>
      </c>
      <c r="AU25" s="26" t="s">
        <v>291</v>
      </c>
      <c r="AV25" s="26" t="s">
        <v>291</v>
      </c>
      <c r="AW25" s="26" t="s">
        <v>291</v>
      </c>
      <c r="AX25" s="26" t="s">
        <v>291</v>
      </c>
      <c r="AY25" s="20" t="s">
        <v>291</v>
      </c>
      <c r="AZ25" s="26" t="s">
        <v>291</v>
      </c>
      <c r="BA25" s="26" t="s">
        <v>291</v>
      </c>
      <c r="BB25" s="26" t="s">
        <v>291</v>
      </c>
      <c r="BC25" s="20" t="s">
        <v>291</v>
      </c>
      <c r="BD25">
        <f t="shared" si="0"/>
        <v>1</v>
      </c>
      <c r="BE25" s="20">
        <f t="shared" si="1"/>
        <v>0</v>
      </c>
      <c r="BG25" s="122" t="s">
        <v>367</v>
      </c>
      <c r="BH25" s="148" t="s">
        <v>472</v>
      </c>
      <c r="BI25" s="133">
        <v>10</v>
      </c>
      <c r="BJ25" s="133">
        <v>10</v>
      </c>
      <c r="BK25" t="str">
        <f t="shared" si="2"/>
        <v/>
      </c>
    </row>
    <row r="26" spans="1:63" ht="15.5" x14ac:dyDescent="0.35">
      <c r="A26" t="s">
        <v>58</v>
      </c>
      <c r="B26" s="36" t="s">
        <v>58</v>
      </c>
      <c r="C26" s="36" t="s">
        <v>59</v>
      </c>
      <c r="D26" s="14" t="s">
        <v>13</v>
      </c>
      <c r="E26" s="15" t="s">
        <v>291</v>
      </c>
      <c r="F26" s="15" t="s">
        <v>291</v>
      </c>
      <c r="G26" s="15" t="s">
        <v>291</v>
      </c>
      <c r="H26" s="15" t="s">
        <v>291</v>
      </c>
      <c r="I26" s="15" t="s">
        <v>291</v>
      </c>
      <c r="J26" s="15" t="s">
        <v>291</v>
      </c>
      <c r="K26" s="15" t="s">
        <v>291</v>
      </c>
      <c r="L26" s="15" t="s">
        <v>291</v>
      </c>
      <c r="M26" s="15" t="s">
        <v>291</v>
      </c>
      <c r="N26" s="15" t="s">
        <v>291</v>
      </c>
      <c r="O26" s="23" t="s">
        <v>291</v>
      </c>
      <c r="P26" s="24" t="s">
        <v>291</v>
      </c>
      <c r="Q26" s="24" t="s">
        <v>291</v>
      </c>
      <c r="R26" s="24" t="s">
        <v>291</v>
      </c>
      <c r="S26" s="17" t="s">
        <v>291</v>
      </c>
      <c r="T26" s="17" t="s">
        <v>291</v>
      </c>
      <c r="U26" s="25" t="s">
        <v>291</v>
      </c>
      <c r="V26" s="25" t="s">
        <v>291</v>
      </c>
      <c r="W26" s="19" t="s">
        <v>291</v>
      </c>
      <c r="X26" s="26" t="s">
        <v>291</v>
      </c>
      <c r="Y26" s="26" t="s">
        <v>291</v>
      </c>
      <c r="Z26" s="26" t="s">
        <v>291</v>
      </c>
      <c r="AA26" s="20" t="s">
        <v>291</v>
      </c>
      <c r="AB26" s="20" t="s">
        <v>291</v>
      </c>
      <c r="AC26" s="20" t="s">
        <v>291</v>
      </c>
      <c r="AD26" s="20" t="s">
        <v>291</v>
      </c>
      <c r="AE26" s="26" t="s">
        <v>291</v>
      </c>
      <c r="AF26" s="20" t="s">
        <v>291</v>
      </c>
      <c r="AG26" s="26" t="s">
        <v>291</v>
      </c>
      <c r="AH26" s="26" t="s">
        <v>291</v>
      </c>
      <c r="AI26" s="20" t="s">
        <v>291</v>
      </c>
      <c r="AJ26" s="20" t="s">
        <v>291</v>
      </c>
      <c r="AK26" s="27" t="s">
        <v>291</v>
      </c>
      <c r="AL26" s="26" t="s">
        <v>291</v>
      </c>
      <c r="AM26" s="26" t="s">
        <v>291</v>
      </c>
      <c r="AN26" s="26" t="s">
        <v>291</v>
      </c>
      <c r="AO26" s="26" t="s">
        <v>291</v>
      </c>
      <c r="AP26" s="26" t="s">
        <v>291</v>
      </c>
      <c r="AQ26" s="20" t="s">
        <v>291</v>
      </c>
      <c r="AR26" s="20" t="s">
        <v>291</v>
      </c>
      <c r="AS26" s="20" t="s">
        <v>291</v>
      </c>
      <c r="AT26" s="26" t="s">
        <v>291</v>
      </c>
      <c r="AU26" s="26" t="s">
        <v>291</v>
      </c>
      <c r="AV26" s="26" t="s">
        <v>291</v>
      </c>
      <c r="AW26" s="26" t="s">
        <v>291</v>
      </c>
      <c r="AX26" s="26" t="s">
        <v>291</v>
      </c>
      <c r="AY26" s="20" t="s">
        <v>291</v>
      </c>
      <c r="AZ26" s="26" t="s">
        <v>291</v>
      </c>
      <c r="BA26" s="26" t="s">
        <v>291</v>
      </c>
      <c r="BB26" s="26" t="s">
        <v>291</v>
      </c>
      <c r="BC26" s="20" t="s">
        <v>291</v>
      </c>
      <c r="BD26">
        <f t="shared" si="0"/>
        <v>0</v>
      </c>
      <c r="BE26" s="20">
        <f t="shared" si="1"/>
        <v>0</v>
      </c>
      <c r="BG26" s="122" t="s">
        <v>368</v>
      </c>
      <c r="BH26" s="148" t="s">
        <v>473</v>
      </c>
      <c r="BI26" s="130"/>
      <c r="BJ26" s="130"/>
      <c r="BK26">
        <f t="shared" si="2"/>
        <v>20</v>
      </c>
    </row>
    <row r="27" spans="1:63" ht="15.5" x14ac:dyDescent="0.35">
      <c r="A27" t="s">
        <v>60</v>
      </c>
      <c r="B27" s="36" t="s">
        <v>60</v>
      </c>
      <c r="C27" s="36" t="s">
        <v>61</v>
      </c>
      <c r="D27" s="14" t="s">
        <v>13</v>
      </c>
      <c r="E27" s="15" t="s">
        <v>291</v>
      </c>
      <c r="F27" s="15" t="s">
        <v>291</v>
      </c>
      <c r="G27" s="15" t="s">
        <v>291</v>
      </c>
      <c r="H27" s="15" t="s">
        <v>291</v>
      </c>
      <c r="I27" s="15" t="s">
        <v>291</v>
      </c>
      <c r="J27" s="15" t="s">
        <v>291</v>
      </c>
      <c r="K27" s="15" t="s">
        <v>291</v>
      </c>
      <c r="L27" s="15" t="s">
        <v>291</v>
      </c>
      <c r="M27" s="15" t="s">
        <v>291</v>
      </c>
      <c r="N27" s="15" t="s">
        <v>291</v>
      </c>
      <c r="O27" s="23" t="s">
        <v>291</v>
      </c>
      <c r="P27" s="24" t="s">
        <v>291</v>
      </c>
      <c r="Q27" s="24" t="s">
        <v>291</v>
      </c>
      <c r="R27" s="24" t="s">
        <v>291</v>
      </c>
      <c r="S27" s="17" t="s">
        <v>291</v>
      </c>
      <c r="T27" s="17" t="s">
        <v>291</v>
      </c>
      <c r="U27" s="25" t="s">
        <v>291</v>
      </c>
      <c r="V27" s="25" t="s">
        <v>291</v>
      </c>
      <c r="W27" s="19" t="s">
        <v>291</v>
      </c>
      <c r="X27" s="26" t="s">
        <v>291</v>
      </c>
      <c r="Y27" s="26" t="s">
        <v>291</v>
      </c>
      <c r="Z27" s="26" t="s">
        <v>291</v>
      </c>
      <c r="AA27" s="20" t="s">
        <v>291</v>
      </c>
      <c r="AB27" s="20" t="s">
        <v>291</v>
      </c>
      <c r="AC27" s="20" t="s">
        <v>291</v>
      </c>
      <c r="AD27" s="20" t="s">
        <v>291</v>
      </c>
      <c r="AE27" s="26" t="s">
        <v>291</v>
      </c>
      <c r="AF27" s="20" t="s">
        <v>291</v>
      </c>
      <c r="AG27" s="26" t="s">
        <v>291</v>
      </c>
      <c r="AH27" s="26" t="s">
        <v>291</v>
      </c>
      <c r="AI27" s="20" t="s">
        <v>291</v>
      </c>
      <c r="AJ27" s="20" t="s">
        <v>291</v>
      </c>
      <c r="AK27" s="27" t="s">
        <v>291</v>
      </c>
      <c r="AL27" s="26" t="s">
        <v>291</v>
      </c>
      <c r="AM27" s="26" t="s">
        <v>291</v>
      </c>
      <c r="AN27" s="26" t="s">
        <v>291</v>
      </c>
      <c r="AO27" s="26" t="s">
        <v>291</v>
      </c>
      <c r="AP27" s="26" t="s">
        <v>291</v>
      </c>
      <c r="AQ27" s="20" t="s">
        <v>291</v>
      </c>
      <c r="AR27" s="20" t="s">
        <v>291</v>
      </c>
      <c r="AS27" s="20" t="s">
        <v>291</v>
      </c>
      <c r="AT27" s="26" t="s">
        <v>291</v>
      </c>
      <c r="AU27" s="26" t="s">
        <v>291</v>
      </c>
      <c r="AV27" s="26" t="s">
        <v>291</v>
      </c>
      <c r="AW27" s="26" t="s">
        <v>291</v>
      </c>
      <c r="AX27" s="26" t="s">
        <v>291</v>
      </c>
      <c r="AY27" s="20" t="s">
        <v>291</v>
      </c>
      <c r="AZ27" s="26" t="s">
        <v>291</v>
      </c>
      <c r="BA27" s="26" t="s">
        <v>291</v>
      </c>
      <c r="BB27" s="26" t="s">
        <v>291</v>
      </c>
      <c r="BC27" s="20" t="s">
        <v>292</v>
      </c>
      <c r="BD27">
        <f t="shared" si="0"/>
        <v>0</v>
      </c>
      <c r="BE27" s="20">
        <f t="shared" si="1"/>
        <v>1</v>
      </c>
      <c r="BG27" s="122" t="s">
        <v>369</v>
      </c>
      <c r="BH27" s="148" t="s">
        <v>474</v>
      </c>
      <c r="BI27" s="133">
        <v>10</v>
      </c>
      <c r="BJ27" s="133">
        <v>10</v>
      </c>
      <c r="BK27" t="str">
        <f t="shared" si="2"/>
        <v/>
      </c>
    </row>
    <row r="28" spans="1:63" ht="15.5" x14ac:dyDescent="0.35">
      <c r="A28" t="s">
        <v>62</v>
      </c>
      <c r="B28" s="36" t="s">
        <v>62</v>
      </c>
      <c r="C28" s="36" t="s">
        <v>61</v>
      </c>
      <c r="D28" s="14" t="s">
        <v>13</v>
      </c>
      <c r="E28" s="15" t="s">
        <v>291</v>
      </c>
      <c r="F28" s="15" t="s">
        <v>291</v>
      </c>
      <c r="G28" s="15" t="s">
        <v>291</v>
      </c>
      <c r="H28" s="15" t="s">
        <v>291</v>
      </c>
      <c r="I28" s="15" t="s">
        <v>291</v>
      </c>
      <c r="J28" s="15" t="s">
        <v>291</v>
      </c>
      <c r="K28" s="15" t="s">
        <v>291</v>
      </c>
      <c r="L28" s="15" t="s">
        <v>291</v>
      </c>
      <c r="M28" s="15" t="s">
        <v>291</v>
      </c>
      <c r="N28" s="15" t="s">
        <v>291</v>
      </c>
      <c r="O28" s="23" t="s">
        <v>291</v>
      </c>
      <c r="P28" s="24" t="s">
        <v>291</v>
      </c>
      <c r="Q28" s="24" t="s">
        <v>291</v>
      </c>
      <c r="R28" s="24" t="s">
        <v>291</v>
      </c>
      <c r="S28" s="17" t="s">
        <v>291</v>
      </c>
      <c r="T28" s="17" t="s">
        <v>291</v>
      </c>
      <c r="U28" s="25" t="s">
        <v>291</v>
      </c>
      <c r="V28" s="25" t="s">
        <v>291</v>
      </c>
      <c r="W28" s="19" t="s">
        <v>291</v>
      </c>
      <c r="X28" s="29" t="s">
        <v>285</v>
      </c>
      <c r="Y28" s="26" t="s">
        <v>291</v>
      </c>
      <c r="Z28" s="26" t="s">
        <v>291</v>
      </c>
      <c r="AA28" s="20" t="s">
        <v>291</v>
      </c>
      <c r="AB28" s="20" t="s">
        <v>291</v>
      </c>
      <c r="AC28" s="20" t="s">
        <v>291</v>
      </c>
      <c r="AD28" s="20" t="s">
        <v>291</v>
      </c>
      <c r="AE28" s="29" t="s">
        <v>285</v>
      </c>
      <c r="AF28" s="20" t="s">
        <v>291</v>
      </c>
      <c r="AG28" s="26" t="s">
        <v>291</v>
      </c>
      <c r="AH28" s="26" t="s">
        <v>291</v>
      </c>
      <c r="AI28" s="20" t="s">
        <v>291</v>
      </c>
      <c r="AJ28" s="20" t="s">
        <v>291</v>
      </c>
      <c r="AK28" s="27" t="s">
        <v>291</v>
      </c>
      <c r="AL28" s="26" t="s">
        <v>291</v>
      </c>
      <c r="AM28" s="26" t="s">
        <v>291</v>
      </c>
      <c r="AN28" s="26" t="s">
        <v>291</v>
      </c>
      <c r="AO28" s="26" t="s">
        <v>291</v>
      </c>
      <c r="AP28" s="26" t="s">
        <v>291</v>
      </c>
      <c r="AQ28" s="20" t="s">
        <v>291</v>
      </c>
      <c r="AR28" s="20" t="s">
        <v>291</v>
      </c>
      <c r="AS28" s="20" t="s">
        <v>291</v>
      </c>
      <c r="AT28" s="26" t="s">
        <v>291</v>
      </c>
      <c r="AU28" s="26" t="s">
        <v>291</v>
      </c>
      <c r="AV28" s="26" t="s">
        <v>291</v>
      </c>
      <c r="AW28" s="26" t="s">
        <v>291</v>
      </c>
      <c r="AX28" s="26" t="s">
        <v>291</v>
      </c>
      <c r="AY28" s="20" t="s">
        <v>291</v>
      </c>
      <c r="AZ28" s="26" t="s">
        <v>291</v>
      </c>
      <c r="BA28" s="26" t="s">
        <v>291</v>
      </c>
      <c r="BB28" s="26" t="s">
        <v>291</v>
      </c>
      <c r="BC28" s="20" t="s">
        <v>292</v>
      </c>
      <c r="BD28">
        <f t="shared" si="0"/>
        <v>2</v>
      </c>
      <c r="BE28" s="20">
        <f t="shared" si="1"/>
        <v>1</v>
      </c>
      <c r="BG28" s="122" t="s">
        <v>370</v>
      </c>
      <c r="BH28" s="148" t="s">
        <v>474</v>
      </c>
      <c r="BI28" s="133">
        <v>10</v>
      </c>
      <c r="BJ28" s="133">
        <v>10</v>
      </c>
      <c r="BK28" t="str">
        <f t="shared" si="2"/>
        <v/>
      </c>
    </row>
    <row r="29" spans="1:63" ht="15.5" x14ac:dyDescent="0.35">
      <c r="A29" t="s">
        <v>63</v>
      </c>
      <c r="B29" s="36" t="s">
        <v>63</v>
      </c>
      <c r="C29" s="36" t="s">
        <v>64</v>
      </c>
      <c r="D29" s="14" t="s">
        <v>13</v>
      </c>
      <c r="E29" s="15" t="s">
        <v>291</v>
      </c>
      <c r="F29" s="15" t="s">
        <v>291</v>
      </c>
      <c r="G29" s="15" t="s">
        <v>291</v>
      </c>
      <c r="H29" s="15" t="s">
        <v>291</v>
      </c>
      <c r="I29" s="15" t="s">
        <v>291</v>
      </c>
      <c r="J29" s="15" t="s">
        <v>291</v>
      </c>
      <c r="K29" s="15" t="s">
        <v>291</v>
      </c>
      <c r="L29" s="15" t="s">
        <v>291</v>
      </c>
      <c r="M29" s="15" t="s">
        <v>291</v>
      </c>
      <c r="N29" s="15" t="s">
        <v>291</v>
      </c>
      <c r="O29" s="23" t="s">
        <v>291</v>
      </c>
      <c r="P29" s="24" t="s">
        <v>291</v>
      </c>
      <c r="Q29" s="24" t="s">
        <v>291</v>
      </c>
      <c r="R29" s="24" t="s">
        <v>291</v>
      </c>
      <c r="S29" s="17" t="s">
        <v>291</v>
      </c>
      <c r="T29" s="17" t="s">
        <v>291</v>
      </c>
      <c r="U29" s="25" t="s">
        <v>291</v>
      </c>
      <c r="V29" s="25" t="s">
        <v>291</v>
      </c>
      <c r="W29" s="19" t="s">
        <v>291</v>
      </c>
      <c r="X29" s="26" t="s">
        <v>291</v>
      </c>
      <c r="Y29" s="26" t="s">
        <v>291</v>
      </c>
      <c r="Z29" s="26" t="s">
        <v>291</v>
      </c>
      <c r="AA29" s="20" t="s">
        <v>291</v>
      </c>
      <c r="AB29" s="20" t="s">
        <v>291</v>
      </c>
      <c r="AC29" s="20" t="s">
        <v>291</v>
      </c>
      <c r="AD29" s="20" t="s">
        <v>291</v>
      </c>
      <c r="AE29" s="26" t="s">
        <v>291</v>
      </c>
      <c r="AF29" s="20" t="s">
        <v>291</v>
      </c>
      <c r="AG29" s="26" t="s">
        <v>291</v>
      </c>
      <c r="AH29" s="26" t="s">
        <v>291</v>
      </c>
      <c r="AI29" s="20" t="s">
        <v>291</v>
      </c>
      <c r="AJ29" s="20" t="s">
        <v>291</v>
      </c>
      <c r="AK29" s="27" t="s">
        <v>291</v>
      </c>
      <c r="AL29" s="26" t="s">
        <v>291</v>
      </c>
      <c r="AM29" s="26" t="s">
        <v>291</v>
      </c>
      <c r="AN29" s="26" t="s">
        <v>291</v>
      </c>
      <c r="AO29" s="26" t="s">
        <v>291</v>
      </c>
      <c r="AP29" s="26" t="s">
        <v>291</v>
      </c>
      <c r="AQ29" s="20" t="s">
        <v>291</v>
      </c>
      <c r="AR29" s="20" t="s">
        <v>291</v>
      </c>
      <c r="AS29" s="20" t="s">
        <v>291</v>
      </c>
      <c r="AT29" s="26" t="s">
        <v>291</v>
      </c>
      <c r="AU29" s="26" t="s">
        <v>291</v>
      </c>
      <c r="AV29" s="26" t="s">
        <v>291</v>
      </c>
      <c r="AW29" s="26" t="s">
        <v>291</v>
      </c>
      <c r="AX29" s="26" t="s">
        <v>291</v>
      </c>
      <c r="AY29" s="20" t="s">
        <v>291</v>
      </c>
      <c r="AZ29" s="26" t="s">
        <v>291</v>
      </c>
      <c r="BA29" s="26" t="s">
        <v>291</v>
      </c>
      <c r="BB29" s="26" t="s">
        <v>291</v>
      </c>
      <c r="BC29" s="20" t="s">
        <v>292</v>
      </c>
      <c r="BD29">
        <f t="shared" si="0"/>
        <v>0</v>
      </c>
      <c r="BE29" s="20">
        <f t="shared" si="1"/>
        <v>1</v>
      </c>
      <c r="BG29" s="123" t="s">
        <v>63</v>
      </c>
      <c r="BH29" s="109" t="s">
        <v>475</v>
      </c>
      <c r="BI29" s="130"/>
      <c r="BJ29" s="130"/>
      <c r="BK29">
        <f t="shared" si="2"/>
        <v>20</v>
      </c>
    </row>
    <row r="30" spans="1:63" ht="15.5" x14ac:dyDescent="0.35">
      <c r="A30" t="s">
        <v>65</v>
      </c>
      <c r="B30" s="14" t="s">
        <v>65</v>
      </c>
      <c r="C30" s="14" t="s">
        <v>66</v>
      </c>
      <c r="D30" s="14" t="s">
        <v>13</v>
      </c>
      <c r="E30" s="15" t="s">
        <v>291</v>
      </c>
      <c r="F30" s="15" t="s">
        <v>292</v>
      </c>
      <c r="G30" s="15" t="s">
        <v>291</v>
      </c>
      <c r="H30" s="15" t="s">
        <v>291</v>
      </c>
      <c r="I30" s="15" t="s">
        <v>291</v>
      </c>
      <c r="J30" s="15" t="s">
        <v>291</v>
      </c>
      <c r="K30" s="15" t="s">
        <v>291</v>
      </c>
      <c r="L30" s="15" t="s">
        <v>291</v>
      </c>
      <c r="M30" s="15" t="s">
        <v>291</v>
      </c>
      <c r="N30" s="15" t="s">
        <v>291</v>
      </c>
      <c r="O30" s="28" t="s">
        <v>285</v>
      </c>
      <c r="P30" s="24" t="s">
        <v>291</v>
      </c>
      <c r="Q30" s="24" t="s">
        <v>291</v>
      </c>
      <c r="R30" s="24" t="s">
        <v>291</v>
      </c>
      <c r="S30" s="17" t="s">
        <v>291</v>
      </c>
      <c r="T30" s="17" t="s">
        <v>291</v>
      </c>
      <c r="U30" s="25" t="s">
        <v>291</v>
      </c>
      <c r="V30" s="25" t="s">
        <v>291</v>
      </c>
      <c r="W30" s="19" t="s">
        <v>291</v>
      </c>
      <c r="X30" s="26" t="s">
        <v>291</v>
      </c>
      <c r="Y30" s="26" t="s">
        <v>291</v>
      </c>
      <c r="Z30" s="26" t="s">
        <v>291</v>
      </c>
      <c r="AA30" s="20" t="s">
        <v>291</v>
      </c>
      <c r="AB30" s="20" t="s">
        <v>291</v>
      </c>
      <c r="AC30" s="20" t="s">
        <v>291</v>
      </c>
      <c r="AD30" s="20" t="s">
        <v>291</v>
      </c>
      <c r="AE30" s="26" t="s">
        <v>291</v>
      </c>
      <c r="AF30" s="20" t="s">
        <v>291</v>
      </c>
      <c r="AG30" s="26" t="s">
        <v>291</v>
      </c>
      <c r="AH30" s="26" t="s">
        <v>291</v>
      </c>
      <c r="AI30" s="20" t="s">
        <v>291</v>
      </c>
      <c r="AJ30" s="20" t="s">
        <v>291</v>
      </c>
      <c r="AK30" s="27" t="s">
        <v>291</v>
      </c>
      <c r="AL30" s="29" t="s">
        <v>285</v>
      </c>
      <c r="AM30" s="26" t="s">
        <v>291</v>
      </c>
      <c r="AN30" s="26" t="s">
        <v>292</v>
      </c>
      <c r="AO30" s="26" t="s">
        <v>291</v>
      </c>
      <c r="AP30" s="26" t="s">
        <v>291</v>
      </c>
      <c r="AQ30" s="20" t="s">
        <v>291</v>
      </c>
      <c r="AR30" s="20" t="s">
        <v>291</v>
      </c>
      <c r="AS30" s="20" t="s">
        <v>292</v>
      </c>
      <c r="AT30" s="29" t="s">
        <v>285</v>
      </c>
      <c r="AU30" s="26" t="s">
        <v>292</v>
      </c>
      <c r="AV30" s="26" t="s">
        <v>291</v>
      </c>
      <c r="AW30" s="29" t="s">
        <v>285</v>
      </c>
      <c r="AX30" s="26" t="s">
        <v>291</v>
      </c>
      <c r="AY30" s="20" t="s">
        <v>291</v>
      </c>
      <c r="AZ30" s="26" t="s">
        <v>291</v>
      </c>
      <c r="BA30" s="26" t="s">
        <v>291</v>
      </c>
      <c r="BB30" s="26" t="s">
        <v>291</v>
      </c>
      <c r="BC30" s="20" t="s">
        <v>291</v>
      </c>
      <c r="BD30">
        <f t="shared" si="0"/>
        <v>4</v>
      </c>
      <c r="BE30" s="20">
        <f t="shared" si="1"/>
        <v>4</v>
      </c>
      <c r="BG30" s="2" t="s">
        <v>371</v>
      </c>
      <c r="BH30" s="147" t="s">
        <v>476</v>
      </c>
      <c r="BI30" s="130"/>
      <c r="BJ30" s="130"/>
      <c r="BK30">
        <f t="shared" si="2"/>
        <v>20</v>
      </c>
    </row>
    <row r="31" spans="1:63" ht="15.5" x14ac:dyDescent="0.35">
      <c r="A31" t="s">
        <v>67</v>
      </c>
      <c r="B31" s="14" t="s">
        <v>67</v>
      </c>
      <c r="C31" s="14" t="s">
        <v>68</v>
      </c>
      <c r="D31" s="14" t="s">
        <v>13</v>
      </c>
      <c r="E31" s="15" t="s">
        <v>291</v>
      </c>
      <c r="F31" s="15" t="s">
        <v>291</v>
      </c>
      <c r="G31" s="15" t="s">
        <v>291</v>
      </c>
      <c r="H31" s="15" t="s">
        <v>291</v>
      </c>
      <c r="I31" s="15" t="s">
        <v>291</v>
      </c>
      <c r="J31" s="15" t="s">
        <v>291</v>
      </c>
      <c r="K31" s="15" t="s">
        <v>291</v>
      </c>
      <c r="L31" s="15" t="s">
        <v>291</v>
      </c>
      <c r="M31" s="15" t="s">
        <v>291</v>
      </c>
      <c r="N31" s="15" t="s">
        <v>291</v>
      </c>
      <c r="O31" s="23" t="s">
        <v>291</v>
      </c>
      <c r="P31" s="24" t="s">
        <v>291</v>
      </c>
      <c r="Q31" s="24" t="s">
        <v>291</v>
      </c>
      <c r="R31" s="24" t="s">
        <v>291</v>
      </c>
      <c r="S31" s="17" t="s">
        <v>291</v>
      </c>
      <c r="T31" s="17" t="s">
        <v>291</v>
      </c>
      <c r="U31" s="25" t="s">
        <v>291</v>
      </c>
      <c r="V31" s="25" t="s">
        <v>291</v>
      </c>
      <c r="W31" s="19" t="s">
        <v>291</v>
      </c>
      <c r="X31" s="26" t="s">
        <v>291</v>
      </c>
      <c r="Y31" s="26" t="s">
        <v>291</v>
      </c>
      <c r="Z31" s="26" t="s">
        <v>291</v>
      </c>
      <c r="AA31" s="20" t="s">
        <v>291</v>
      </c>
      <c r="AB31" s="20" t="s">
        <v>291</v>
      </c>
      <c r="AC31" s="20" t="s">
        <v>291</v>
      </c>
      <c r="AD31" s="20" t="s">
        <v>291</v>
      </c>
      <c r="AE31" s="26" t="s">
        <v>291</v>
      </c>
      <c r="AF31" s="20" t="s">
        <v>291</v>
      </c>
      <c r="AG31" s="26" t="s">
        <v>291</v>
      </c>
      <c r="AH31" s="26" t="s">
        <v>291</v>
      </c>
      <c r="AI31" s="20" t="s">
        <v>291</v>
      </c>
      <c r="AJ31" s="20" t="s">
        <v>291</v>
      </c>
      <c r="AK31" s="27" t="s">
        <v>291</v>
      </c>
      <c r="AL31" s="26" t="s">
        <v>291</v>
      </c>
      <c r="AM31" s="26" t="s">
        <v>291</v>
      </c>
      <c r="AN31" s="26" t="s">
        <v>291</v>
      </c>
      <c r="AO31" s="26" t="s">
        <v>291</v>
      </c>
      <c r="AP31" s="26" t="s">
        <v>291</v>
      </c>
      <c r="AQ31" s="20" t="s">
        <v>291</v>
      </c>
      <c r="AR31" s="20" t="s">
        <v>291</v>
      </c>
      <c r="AS31" s="20" t="s">
        <v>291</v>
      </c>
      <c r="AT31" s="26" t="s">
        <v>291</v>
      </c>
      <c r="AU31" s="26" t="s">
        <v>291</v>
      </c>
      <c r="AV31" s="26" t="s">
        <v>291</v>
      </c>
      <c r="AW31" s="26" t="s">
        <v>291</v>
      </c>
      <c r="AX31" s="26" t="s">
        <v>291</v>
      </c>
      <c r="AY31" s="20" t="s">
        <v>291</v>
      </c>
      <c r="AZ31" s="26" t="s">
        <v>291</v>
      </c>
      <c r="BA31" s="26" t="s">
        <v>291</v>
      </c>
      <c r="BB31" s="26" t="s">
        <v>291</v>
      </c>
      <c r="BC31" s="20" t="s">
        <v>291</v>
      </c>
      <c r="BD31">
        <f t="shared" si="0"/>
        <v>0</v>
      </c>
      <c r="BE31" s="20">
        <f t="shared" si="1"/>
        <v>0</v>
      </c>
      <c r="BG31" s="123" t="s">
        <v>372</v>
      </c>
      <c r="BH31" s="109" t="s">
        <v>68</v>
      </c>
      <c r="BI31" s="130"/>
      <c r="BJ31" s="130"/>
      <c r="BK31">
        <f t="shared" si="2"/>
        <v>20</v>
      </c>
    </row>
    <row r="32" spans="1:63" ht="15.5" x14ac:dyDescent="0.35">
      <c r="A32" t="s">
        <v>69</v>
      </c>
      <c r="B32" s="14" t="s">
        <v>69</v>
      </c>
      <c r="C32" s="14" t="s">
        <v>70</v>
      </c>
      <c r="D32" s="14" t="s">
        <v>13</v>
      </c>
      <c r="E32" s="15" t="s">
        <v>291</v>
      </c>
      <c r="F32" s="15" t="s">
        <v>291</v>
      </c>
      <c r="G32" s="15" t="s">
        <v>291</v>
      </c>
      <c r="H32" s="15" t="s">
        <v>291</v>
      </c>
      <c r="I32" s="15" t="s">
        <v>291</v>
      </c>
      <c r="J32" s="15" t="s">
        <v>291</v>
      </c>
      <c r="K32" s="15" t="s">
        <v>291</v>
      </c>
      <c r="L32" s="15" t="s">
        <v>291</v>
      </c>
      <c r="M32" s="15" t="s">
        <v>291</v>
      </c>
      <c r="N32" s="15" t="s">
        <v>291</v>
      </c>
      <c r="O32" s="23" t="s">
        <v>291</v>
      </c>
      <c r="P32" s="24" t="s">
        <v>291</v>
      </c>
      <c r="Q32" s="24" t="s">
        <v>291</v>
      </c>
      <c r="R32" s="24" t="s">
        <v>291</v>
      </c>
      <c r="S32" s="17" t="s">
        <v>291</v>
      </c>
      <c r="T32" s="17" t="s">
        <v>291</v>
      </c>
      <c r="U32" s="25" t="s">
        <v>291</v>
      </c>
      <c r="V32" s="25" t="s">
        <v>291</v>
      </c>
      <c r="W32" s="19" t="s">
        <v>291</v>
      </c>
      <c r="X32" s="26" t="s">
        <v>291</v>
      </c>
      <c r="Y32" s="26" t="s">
        <v>291</v>
      </c>
      <c r="Z32" s="26" t="s">
        <v>291</v>
      </c>
      <c r="AA32" s="20" t="s">
        <v>291</v>
      </c>
      <c r="AB32" s="20" t="s">
        <v>291</v>
      </c>
      <c r="AC32" s="20" t="s">
        <v>291</v>
      </c>
      <c r="AD32" s="20" t="s">
        <v>291</v>
      </c>
      <c r="AE32" s="26" t="s">
        <v>291</v>
      </c>
      <c r="AF32" s="20" t="s">
        <v>291</v>
      </c>
      <c r="AG32" s="26" t="s">
        <v>291</v>
      </c>
      <c r="AH32" s="26" t="s">
        <v>291</v>
      </c>
      <c r="AI32" s="20" t="s">
        <v>291</v>
      </c>
      <c r="AJ32" s="20" t="s">
        <v>291</v>
      </c>
      <c r="AK32" s="27" t="s">
        <v>291</v>
      </c>
      <c r="AL32" s="26" t="s">
        <v>291</v>
      </c>
      <c r="AM32" s="26" t="s">
        <v>291</v>
      </c>
      <c r="AN32" s="26" t="s">
        <v>291</v>
      </c>
      <c r="AO32" s="29" t="s">
        <v>285</v>
      </c>
      <c r="AP32" s="26" t="s">
        <v>291</v>
      </c>
      <c r="AQ32" s="20" t="s">
        <v>291</v>
      </c>
      <c r="AR32" s="20" t="s">
        <v>291</v>
      </c>
      <c r="AS32" s="20" t="s">
        <v>291</v>
      </c>
      <c r="AT32" s="26" t="s">
        <v>291</v>
      </c>
      <c r="AU32" s="26" t="s">
        <v>291</v>
      </c>
      <c r="AV32" s="26" t="s">
        <v>291</v>
      </c>
      <c r="AW32" s="26" t="s">
        <v>291</v>
      </c>
      <c r="AX32" s="26" t="s">
        <v>291</v>
      </c>
      <c r="AY32" s="20" t="s">
        <v>291</v>
      </c>
      <c r="AZ32" s="26" t="s">
        <v>291</v>
      </c>
      <c r="BA32" s="26" t="s">
        <v>291</v>
      </c>
      <c r="BB32" s="26" t="s">
        <v>291</v>
      </c>
      <c r="BC32" s="20" t="s">
        <v>291</v>
      </c>
      <c r="BD32">
        <f t="shared" si="0"/>
        <v>1</v>
      </c>
      <c r="BE32" s="20">
        <f t="shared" si="1"/>
        <v>0</v>
      </c>
      <c r="BG32" s="114" t="s">
        <v>373</v>
      </c>
      <c r="BH32" s="115" t="s">
        <v>477</v>
      </c>
      <c r="BI32" s="133">
        <v>10</v>
      </c>
      <c r="BJ32" s="133">
        <v>10</v>
      </c>
      <c r="BK32" t="str">
        <f t="shared" si="2"/>
        <v/>
      </c>
    </row>
    <row r="33" spans="1:63" ht="15.5" x14ac:dyDescent="0.35">
      <c r="A33" t="s">
        <v>32</v>
      </c>
      <c r="B33" s="40" t="s">
        <v>32</v>
      </c>
      <c r="C33" s="41" t="s">
        <v>71</v>
      </c>
      <c r="D33" s="41" t="s">
        <v>72</v>
      </c>
      <c r="E33" s="15" t="s">
        <v>291</v>
      </c>
      <c r="F33" s="15" t="s">
        <v>291</v>
      </c>
      <c r="G33" s="15" t="s">
        <v>291</v>
      </c>
      <c r="H33" s="15" t="s">
        <v>291</v>
      </c>
      <c r="I33" s="15" t="s">
        <v>291</v>
      </c>
      <c r="J33" s="15" t="s">
        <v>291</v>
      </c>
      <c r="K33" s="15" t="s">
        <v>291</v>
      </c>
      <c r="L33" s="15" t="s">
        <v>291</v>
      </c>
      <c r="M33" s="15" t="s">
        <v>291</v>
      </c>
      <c r="N33" s="15" t="s">
        <v>291</v>
      </c>
      <c r="O33" s="23" t="s">
        <v>291</v>
      </c>
      <c r="P33" s="24" t="s">
        <v>292</v>
      </c>
      <c r="Q33" s="24" t="s">
        <v>291</v>
      </c>
      <c r="R33" s="24" t="s">
        <v>291</v>
      </c>
      <c r="S33" s="24" t="s">
        <v>291</v>
      </c>
      <c r="T33" s="24" t="s">
        <v>291</v>
      </c>
      <c r="U33" s="25" t="s">
        <v>291</v>
      </c>
      <c r="V33" s="25" t="s">
        <v>291</v>
      </c>
      <c r="W33" s="42" t="s">
        <v>291</v>
      </c>
      <c r="X33" s="26" t="s">
        <v>291</v>
      </c>
      <c r="Y33" s="26" t="s">
        <v>291</v>
      </c>
      <c r="Z33" s="26" t="s">
        <v>291</v>
      </c>
      <c r="AA33" s="26" t="s">
        <v>291</v>
      </c>
      <c r="AB33" s="26" t="s">
        <v>291</v>
      </c>
      <c r="AC33" s="26" t="s">
        <v>291</v>
      </c>
      <c r="AD33" s="26" t="s">
        <v>291</v>
      </c>
      <c r="AE33" s="26" t="s">
        <v>291</v>
      </c>
      <c r="AF33" s="26" t="s">
        <v>291</v>
      </c>
      <c r="AG33" s="26" t="s">
        <v>291</v>
      </c>
      <c r="AH33" s="26" t="s">
        <v>291</v>
      </c>
      <c r="AI33" s="26" t="s">
        <v>291</v>
      </c>
      <c r="AJ33" s="26" t="s">
        <v>291</v>
      </c>
      <c r="AK33" s="27" t="s">
        <v>291</v>
      </c>
      <c r="AL33" s="26" t="s">
        <v>291</v>
      </c>
      <c r="AM33" s="26" t="s">
        <v>291</v>
      </c>
      <c r="AN33" s="26" t="s">
        <v>291</v>
      </c>
      <c r="AO33" s="26" t="s">
        <v>291</v>
      </c>
      <c r="AP33" s="26" t="s">
        <v>291</v>
      </c>
      <c r="AQ33" s="27" t="s">
        <v>291</v>
      </c>
      <c r="AR33" s="30" t="s">
        <v>291</v>
      </c>
      <c r="AS33" s="27" t="s">
        <v>291</v>
      </c>
      <c r="AT33" s="27" t="s">
        <v>291</v>
      </c>
      <c r="AU33" s="27" t="s">
        <v>291</v>
      </c>
      <c r="AV33" s="27" t="s">
        <v>291</v>
      </c>
      <c r="AW33" s="27" t="s">
        <v>291</v>
      </c>
      <c r="AX33" s="27" t="s">
        <v>291</v>
      </c>
      <c r="AY33" s="26" t="s">
        <v>291</v>
      </c>
      <c r="AZ33" s="26" t="s">
        <v>291</v>
      </c>
      <c r="BA33" s="26" t="s">
        <v>291</v>
      </c>
      <c r="BB33" s="26" t="s">
        <v>291</v>
      </c>
      <c r="BC33" s="26" t="s">
        <v>291</v>
      </c>
      <c r="BD33">
        <f t="shared" si="0"/>
        <v>0</v>
      </c>
      <c r="BE33" s="20">
        <f t="shared" si="1"/>
        <v>1</v>
      </c>
      <c r="BG33" s="123" t="s">
        <v>32</v>
      </c>
      <c r="BH33" s="150" t="s">
        <v>71</v>
      </c>
      <c r="BI33" s="130"/>
      <c r="BJ33" s="130"/>
      <c r="BK33">
        <f t="shared" si="2"/>
        <v>20</v>
      </c>
    </row>
    <row r="34" spans="1:63" ht="15.5" x14ac:dyDescent="0.35">
      <c r="A34" t="s">
        <v>73</v>
      </c>
      <c r="B34" s="40" t="s">
        <v>73</v>
      </c>
      <c r="C34" s="41" t="s">
        <v>74</v>
      </c>
      <c r="D34" s="41" t="s">
        <v>72</v>
      </c>
      <c r="E34" s="15" t="s">
        <v>291</v>
      </c>
      <c r="F34" s="15" t="s">
        <v>291</v>
      </c>
      <c r="G34" s="15" t="s">
        <v>291</v>
      </c>
      <c r="H34" s="15" t="s">
        <v>291</v>
      </c>
      <c r="I34" s="15" t="s">
        <v>291</v>
      </c>
      <c r="J34" s="15" t="s">
        <v>291</v>
      </c>
      <c r="K34" s="15" t="s">
        <v>291</v>
      </c>
      <c r="L34" s="15" t="s">
        <v>291</v>
      </c>
      <c r="M34" s="15" t="s">
        <v>291</v>
      </c>
      <c r="N34" s="15" t="s">
        <v>291</v>
      </c>
      <c r="O34" s="23" t="s">
        <v>291</v>
      </c>
      <c r="P34" s="24" t="s">
        <v>291</v>
      </c>
      <c r="Q34" s="24" t="s">
        <v>291</v>
      </c>
      <c r="R34" s="24" t="s">
        <v>291</v>
      </c>
      <c r="S34" s="24" t="s">
        <v>291</v>
      </c>
      <c r="T34" s="24" t="s">
        <v>291</v>
      </c>
      <c r="U34" s="25" t="s">
        <v>291</v>
      </c>
      <c r="V34" s="25" t="s">
        <v>291</v>
      </c>
      <c r="W34" s="42" t="s">
        <v>292</v>
      </c>
      <c r="X34" s="26" t="s">
        <v>291</v>
      </c>
      <c r="Y34" s="26" t="s">
        <v>291</v>
      </c>
      <c r="Z34" s="26" t="s">
        <v>291</v>
      </c>
      <c r="AA34" s="26" t="s">
        <v>291</v>
      </c>
      <c r="AB34" s="26" t="s">
        <v>291</v>
      </c>
      <c r="AC34" s="26" t="s">
        <v>291</v>
      </c>
      <c r="AD34" s="26" t="s">
        <v>291</v>
      </c>
      <c r="AE34" s="26" t="s">
        <v>291</v>
      </c>
      <c r="AF34" s="29" t="s">
        <v>285</v>
      </c>
      <c r="AG34" s="26" t="s">
        <v>291</v>
      </c>
      <c r="AH34" s="26" t="s">
        <v>291</v>
      </c>
      <c r="AI34" s="26" t="s">
        <v>291</v>
      </c>
      <c r="AJ34" s="26" t="s">
        <v>292</v>
      </c>
      <c r="AK34" s="27" t="s">
        <v>291</v>
      </c>
      <c r="AL34" s="26" t="s">
        <v>291</v>
      </c>
      <c r="AM34" s="26" t="s">
        <v>291</v>
      </c>
      <c r="AN34" s="26" t="s">
        <v>291</v>
      </c>
      <c r="AO34" s="26" t="s">
        <v>291</v>
      </c>
      <c r="AP34" s="26" t="s">
        <v>291</v>
      </c>
      <c r="AQ34" s="27" t="s">
        <v>291</v>
      </c>
      <c r="AR34" s="27" t="s">
        <v>291</v>
      </c>
      <c r="AS34" s="27" t="s">
        <v>291</v>
      </c>
      <c r="AT34" s="27" t="s">
        <v>291</v>
      </c>
      <c r="AU34" s="27" t="s">
        <v>291</v>
      </c>
      <c r="AV34" s="27" t="s">
        <v>291</v>
      </c>
      <c r="AW34" s="27" t="s">
        <v>291</v>
      </c>
      <c r="AX34" s="27" t="s">
        <v>291</v>
      </c>
      <c r="AY34" s="26" t="s">
        <v>291</v>
      </c>
      <c r="AZ34" s="26" t="s">
        <v>292</v>
      </c>
      <c r="BA34" s="26" t="s">
        <v>291</v>
      </c>
      <c r="BB34" s="26" t="s">
        <v>291</v>
      </c>
      <c r="BC34" s="26" t="s">
        <v>291</v>
      </c>
      <c r="BD34">
        <f t="shared" ref="BD34:BD63" si="3">COUNTIF(D34:BC34,"A")</f>
        <v>1</v>
      </c>
      <c r="BE34" s="20">
        <f t="shared" ref="BE34:BE63" si="4">COUNTIF(D34:BC34,"T")</f>
        <v>3</v>
      </c>
      <c r="BG34" s="2" t="s">
        <v>75</v>
      </c>
      <c r="BH34" s="1" t="s">
        <v>74</v>
      </c>
      <c r="BI34" s="130"/>
      <c r="BJ34" s="130"/>
      <c r="BK34">
        <f t="shared" si="2"/>
        <v>20</v>
      </c>
    </row>
    <row r="35" spans="1:63" ht="15.5" x14ac:dyDescent="0.35">
      <c r="A35" t="s">
        <v>75</v>
      </c>
      <c r="B35" s="14" t="s">
        <v>75</v>
      </c>
      <c r="C35" s="44" t="s">
        <v>74</v>
      </c>
      <c r="D35" s="41" t="s">
        <v>72</v>
      </c>
      <c r="E35" s="15" t="s">
        <v>291</v>
      </c>
      <c r="F35" s="15" t="s">
        <v>291</v>
      </c>
      <c r="G35" s="15" t="s">
        <v>291</v>
      </c>
      <c r="H35" s="15" t="s">
        <v>291</v>
      </c>
      <c r="I35" s="15" t="s">
        <v>291</v>
      </c>
      <c r="J35" s="15" t="s">
        <v>291</v>
      </c>
      <c r="K35" s="15" t="s">
        <v>291</v>
      </c>
      <c r="L35" s="15" t="s">
        <v>291</v>
      </c>
      <c r="M35" s="15" t="s">
        <v>291</v>
      </c>
      <c r="N35" s="15" t="s">
        <v>291</v>
      </c>
      <c r="O35" s="23" t="s">
        <v>291</v>
      </c>
      <c r="P35" s="24" t="s">
        <v>291</v>
      </c>
      <c r="Q35" s="24" t="s">
        <v>291</v>
      </c>
      <c r="R35" s="24" t="s">
        <v>291</v>
      </c>
      <c r="S35" s="24" t="s">
        <v>291</v>
      </c>
      <c r="T35" s="24" t="s">
        <v>291</v>
      </c>
      <c r="U35" s="25" t="s">
        <v>291</v>
      </c>
      <c r="V35" s="25" t="s">
        <v>291</v>
      </c>
      <c r="W35" s="42" t="s">
        <v>291</v>
      </c>
      <c r="X35" s="26" t="s">
        <v>291</v>
      </c>
      <c r="Y35" s="26" t="s">
        <v>291</v>
      </c>
      <c r="Z35" s="26" t="s">
        <v>292</v>
      </c>
      <c r="AA35" s="26" t="s">
        <v>291</v>
      </c>
      <c r="AB35" s="26" t="s">
        <v>291</v>
      </c>
      <c r="AC35" s="26" t="s">
        <v>291</v>
      </c>
      <c r="AD35" s="26" t="s">
        <v>291</v>
      </c>
      <c r="AE35" s="26" t="s">
        <v>291</v>
      </c>
      <c r="AF35" s="26" t="s">
        <v>291</v>
      </c>
      <c r="AG35" s="26" t="s">
        <v>291</v>
      </c>
      <c r="AH35" s="26" t="s">
        <v>291</v>
      </c>
      <c r="AI35" s="26" t="s">
        <v>291</v>
      </c>
      <c r="AJ35" s="26" t="s">
        <v>291</v>
      </c>
      <c r="AK35" s="27" t="s">
        <v>291</v>
      </c>
      <c r="AL35" s="26" t="s">
        <v>291</v>
      </c>
      <c r="AM35" s="26" t="s">
        <v>291</v>
      </c>
      <c r="AN35" s="26" t="s">
        <v>291</v>
      </c>
      <c r="AO35" s="26" t="s">
        <v>291</v>
      </c>
      <c r="AP35" s="26" t="s">
        <v>291</v>
      </c>
      <c r="AQ35" s="27" t="s">
        <v>291</v>
      </c>
      <c r="AR35" s="27" t="s">
        <v>291</v>
      </c>
      <c r="AS35" s="27" t="s">
        <v>291</v>
      </c>
      <c r="AT35" s="27" t="s">
        <v>291</v>
      </c>
      <c r="AU35" s="27" t="s">
        <v>291</v>
      </c>
      <c r="AV35" s="27" t="s">
        <v>291</v>
      </c>
      <c r="AW35" s="27" t="s">
        <v>291</v>
      </c>
      <c r="AX35" s="27" t="s">
        <v>291</v>
      </c>
      <c r="AY35" s="26" t="s">
        <v>291</v>
      </c>
      <c r="AZ35" s="26" t="s">
        <v>291</v>
      </c>
      <c r="BA35" s="26" t="s">
        <v>291</v>
      </c>
      <c r="BB35" s="26" t="s">
        <v>291</v>
      </c>
      <c r="BC35" s="26" t="s">
        <v>291</v>
      </c>
      <c r="BD35">
        <f t="shared" si="3"/>
        <v>0</v>
      </c>
      <c r="BE35" s="20">
        <f t="shared" si="4"/>
        <v>1</v>
      </c>
      <c r="BG35" s="122" t="s">
        <v>374</v>
      </c>
      <c r="BH35" s="151" t="s">
        <v>478</v>
      </c>
      <c r="BI35" s="130"/>
      <c r="BJ35" s="130"/>
      <c r="BK35">
        <f t="shared" si="2"/>
        <v>20</v>
      </c>
    </row>
    <row r="36" spans="1:63" ht="15.5" x14ac:dyDescent="0.35">
      <c r="A36" t="s">
        <v>76</v>
      </c>
      <c r="B36" s="14" t="s">
        <v>76</v>
      </c>
      <c r="C36" s="44" t="s">
        <v>77</v>
      </c>
      <c r="D36" s="41" t="s">
        <v>72</v>
      </c>
      <c r="E36" s="15" t="s">
        <v>291</v>
      </c>
      <c r="F36" s="15" t="s">
        <v>292</v>
      </c>
      <c r="G36" s="15" t="s">
        <v>291</v>
      </c>
      <c r="H36" s="15" t="s">
        <v>291</v>
      </c>
      <c r="I36" s="15" t="s">
        <v>291</v>
      </c>
      <c r="J36" s="15" t="s">
        <v>291</v>
      </c>
      <c r="K36" s="15" t="s">
        <v>291</v>
      </c>
      <c r="L36" s="15" t="s">
        <v>291</v>
      </c>
      <c r="M36" s="15" t="s">
        <v>291</v>
      </c>
      <c r="N36" s="15" t="s">
        <v>291</v>
      </c>
      <c r="O36" s="23" t="s">
        <v>291</v>
      </c>
      <c r="P36" s="24" t="s">
        <v>291</v>
      </c>
      <c r="Q36" s="24" t="s">
        <v>291</v>
      </c>
      <c r="R36" s="24" t="s">
        <v>291</v>
      </c>
      <c r="S36" s="24" t="s">
        <v>291</v>
      </c>
      <c r="T36" s="24" t="s">
        <v>291</v>
      </c>
      <c r="U36" s="25" t="s">
        <v>291</v>
      </c>
      <c r="V36" s="25" t="s">
        <v>291</v>
      </c>
      <c r="W36" s="42" t="s">
        <v>291</v>
      </c>
      <c r="X36" s="26" t="s">
        <v>291</v>
      </c>
      <c r="Y36" s="26" t="s">
        <v>291</v>
      </c>
      <c r="Z36" s="26" t="s">
        <v>291</v>
      </c>
      <c r="AA36" s="26" t="s">
        <v>291</v>
      </c>
      <c r="AB36" s="26" t="s">
        <v>291</v>
      </c>
      <c r="AC36" s="26" t="s">
        <v>291</v>
      </c>
      <c r="AD36" s="26" t="s">
        <v>291</v>
      </c>
      <c r="AE36" s="26" t="s">
        <v>291</v>
      </c>
      <c r="AF36" s="26" t="s">
        <v>291</v>
      </c>
      <c r="AG36" s="26" t="s">
        <v>291</v>
      </c>
      <c r="AH36" s="26" t="s">
        <v>291</v>
      </c>
      <c r="AI36" s="26" t="s">
        <v>291</v>
      </c>
      <c r="AJ36" s="26" t="s">
        <v>291</v>
      </c>
      <c r="AK36" s="27" t="s">
        <v>291</v>
      </c>
      <c r="AL36" s="26" t="s">
        <v>291</v>
      </c>
      <c r="AM36" s="26" t="s">
        <v>291</v>
      </c>
      <c r="AN36" s="26" t="s">
        <v>291</v>
      </c>
      <c r="AO36" s="26" t="s">
        <v>291</v>
      </c>
      <c r="AP36" s="26" t="s">
        <v>291</v>
      </c>
      <c r="AQ36" s="27" t="s">
        <v>291</v>
      </c>
      <c r="AR36" s="27" t="s">
        <v>291</v>
      </c>
      <c r="AS36" s="27" t="s">
        <v>291</v>
      </c>
      <c r="AT36" s="27" t="s">
        <v>291</v>
      </c>
      <c r="AU36" s="27" t="s">
        <v>291</v>
      </c>
      <c r="AV36" s="27" t="s">
        <v>291</v>
      </c>
      <c r="AW36" s="27" t="s">
        <v>291</v>
      </c>
      <c r="AX36" s="27" t="s">
        <v>291</v>
      </c>
      <c r="AY36" s="26" t="s">
        <v>291</v>
      </c>
      <c r="AZ36" s="26" t="s">
        <v>291</v>
      </c>
      <c r="BA36" s="26" t="s">
        <v>291</v>
      </c>
      <c r="BB36" s="30" t="s">
        <v>291</v>
      </c>
      <c r="BC36" s="26" t="s">
        <v>291</v>
      </c>
      <c r="BD36">
        <f t="shared" si="3"/>
        <v>0</v>
      </c>
      <c r="BE36" s="20">
        <f t="shared" si="4"/>
        <v>1</v>
      </c>
      <c r="BG36" s="122" t="s">
        <v>375</v>
      </c>
      <c r="BH36" s="151" t="s">
        <v>479</v>
      </c>
      <c r="BI36" s="133">
        <v>10</v>
      </c>
      <c r="BJ36" s="133">
        <v>10</v>
      </c>
      <c r="BK36" t="str">
        <f t="shared" si="2"/>
        <v/>
      </c>
    </row>
    <row r="37" spans="1:63" ht="15.5" x14ac:dyDescent="0.35">
      <c r="A37" t="s">
        <v>78</v>
      </c>
      <c r="B37" s="14" t="s">
        <v>78</v>
      </c>
      <c r="C37" s="44" t="s">
        <v>79</v>
      </c>
      <c r="D37" s="41" t="s">
        <v>72</v>
      </c>
      <c r="E37" s="15" t="s">
        <v>291</v>
      </c>
      <c r="F37" s="15" t="s">
        <v>291</v>
      </c>
      <c r="G37" s="15" t="s">
        <v>291</v>
      </c>
      <c r="H37" s="15" t="s">
        <v>291</v>
      </c>
      <c r="I37" s="15" t="s">
        <v>291</v>
      </c>
      <c r="J37" s="15" t="s">
        <v>291</v>
      </c>
      <c r="K37" s="15" t="s">
        <v>291</v>
      </c>
      <c r="L37" s="15" t="s">
        <v>291</v>
      </c>
      <c r="M37" s="15" t="s">
        <v>291</v>
      </c>
      <c r="N37" s="15" t="s">
        <v>291</v>
      </c>
      <c r="O37" s="23" t="s">
        <v>291</v>
      </c>
      <c r="P37" s="24" t="s">
        <v>291</v>
      </c>
      <c r="Q37" s="24" t="s">
        <v>291</v>
      </c>
      <c r="R37" s="24" t="s">
        <v>291</v>
      </c>
      <c r="S37" s="24" t="s">
        <v>291</v>
      </c>
      <c r="T37" s="24" t="s">
        <v>291</v>
      </c>
      <c r="U37" s="25" t="s">
        <v>291</v>
      </c>
      <c r="V37" s="25" t="s">
        <v>291</v>
      </c>
      <c r="W37" s="42" t="s">
        <v>291</v>
      </c>
      <c r="X37" s="26" t="s">
        <v>291</v>
      </c>
      <c r="Y37" s="26" t="s">
        <v>291</v>
      </c>
      <c r="Z37" s="26" t="s">
        <v>291</v>
      </c>
      <c r="AA37" s="26" t="s">
        <v>291</v>
      </c>
      <c r="AB37" s="26" t="s">
        <v>291</v>
      </c>
      <c r="AC37" s="26" t="s">
        <v>291</v>
      </c>
      <c r="AD37" s="26" t="s">
        <v>291</v>
      </c>
      <c r="AE37" s="26" t="s">
        <v>291</v>
      </c>
      <c r="AF37" s="26" t="s">
        <v>291</v>
      </c>
      <c r="AG37" s="26" t="s">
        <v>291</v>
      </c>
      <c r="AH37" s="26" t="s">
        <v>291</v>
      </c>
      <c r="AI37" s="26" t="s">
        <v>292</v>
      </c>
      <c r="AJ37" s="26" t="s">
        <v>291</v>
      </c>
      <c r="AK37" s="27" t="s">
        <v>291</v>
      </c>
      <c r="AL37" s="26" t="s">
        <v>291</v>
      </c>
      <c r="AM37" s="26" t="s">
        <v>291</v>
      </c>
      <c r="AN37" s="29" t="s">
        <v>285</v>
      </c>
      <c r="AO37" s="29" t="s">
        <v>285</v>
      </c>
      <c r="AP37" s="29" t="s">
        <v>285</v>
      </c>
      <c r="AQ37" s="45" t="s">
        <v>285</v>
      </c>
      <c r="AR37" s="45" t="s">
        <v>285</v>
      </c>
      <c r="AS37" s="27" t="s">
        <v>291</v>
      </c>
      <c r="AT37" s="27" t="s">
        <v>291</v>
      </c>
      <c r="AU37" s="27" t="s">
        <v>291</v>
      </c>
      <c r="AV37" s="45" t="s">
        <v>285</v>
      </c>
      <c r="AW37" s="27" t="s">
        <v>291</v>
      </c>
      <c r="AX37" s="45" t="s">
        <v>285</v>
      </c>
      <c r="AY37" s="26" t="s">
        <v>291</v>
      </c>
      <c r="AZ37" s="26" t="s">
        <v>291</v>
      </c>
      <c r="BA37" s="26" t="s">
        <v>291</v>
      </c>
      <c r="BB37" s="26" t="s">
        <v>291</v>
      </c>
      <c r="BC37" s="26" t="s">
        <v>291</v>
      </c>
      <c r="BD37">
        <f t="shared" si="3"/>
        <v>7</v>
      </c>
      <c r="BE37" s="20">
        <f t="shared" si="4"/>
        <v>1</v>
      </c>
      <c r="BG37" s="122" t="s">
        <v>376</v>
      </c>
      <c r="BH37" s="151" t="s">
        <v>480</v>
      </c>
      <c r="BI37" s="133">
        <v>10</v>
      </c>
      <c r="BJ37" s="133">
        <v>10</v>
      </c>
      <c r="BK37" t="str">
        <f t="shared" si="2"/>
        <v/>
      </c>
    </row>
    <row r="38" spans="1:63" ht="15.5" x14ac:dyDescent="0.35">
      <c r="A38" t="s">
        <v>80</v>
      </c>
      <c r="B38" s="14" t="s">
        <v>80</v>
      </c>
      <c r="C38" s="44" t="s">
        <v>81</v>
      </c>
      <c r="D38" s="41" t="s">
        <v>72</v>
      </c>
      <c r="E38" s="15" t="s">
        <v>291</v>
      </c>
      <c r="F38" s="15" t="s">
        <v>291</v>
      </c>
      <c r="G38" s="15" t="s">
        <v>291</v>
      </c>
      <c r="H38" s="15" t="s">
        <v>291</v>
      </c>
      <c r="I38" s="15" t="s">
        <v>291</v>
      </c>
      <c r="J38" s="15" t="s">
        <v>291</v>
      </c>
      <c r="K38" s="15" t="s">
        <v>291</v>
      </c>
      <c r="L38" s="15" t="s">
        <v>291</v>
      </c>
      <c r="M38" s="15" t="s">
        <v>291</v>
      </c>
      <c r="N38" s="15" t="s">
        <v>291</v>
      </c>
      <c r="O38" s="23" t="s">
        <v>291</v>
      </c>
      <c r="P38" s="24" t="s">
        <v>291</v>
      </c>
      <c r="Q38" s="24" t="s">
        <v>291</v>
      </c>
      <c r="R38" s="24" t="s">
        <v>291</v>
      </c>
      <c r="S38" s="24" t="s">
        <v>291</v>
      </c>
      <c r="T38" s="24" t="s">
        <v>291</v>
      </c>
      <c r="U38" s="25" t="s">
        <v>291</v>
      </c>
      <c r="V38" s="25" t="s">
        <v>291</v>
      </c>
      <c r="W38" s="42" t="s">
        <v>291</v>
      </c>
      <c r="X38" s="26" t="s">
        <v>291</v>
      </c>
      <c r="Y38" s="26" t="s">
        <v>291</v>
      </c>
      <c r="Z38" s="26" t="s">
        <v>291</v>
      </c>
      <c r="AA38" s="26" t="s">
        <v>291</v>
      </c>
      <c r="AB38" s="26" t="s">
        <v>291</v>
      </c>
      <c r="AC38" s="26" t="s">
        <v>291</v>
      </c>
      <c r="AD38" s="26" t="s">
        <v>291</v>
      </c>
      <c r="AE38" s="26" t="s">
        <v>291</v>
      </c>
      <c r="AF38" s="26" t="s">
        <v>291</v>
      </c>
      <c r="AG38" s="26" t="s">
        <v>291</v>
      </c>
      <c r="AH38" s="26" t="s">
        <v>291</v>
      </c>
      <c r="AI38" s="26" t="s">
        <v>291</v>
      </c>
      <c r="AJ38" s="26" t="s">
        <v>291</v>
      </c>
      <c r="AK38" s="27" t="s">
        <v>291</v>
      </c>
      <c r="AL38" s="26" t="s">
        <v>291</v>
      </c>
      <c r="AM38" s="26" t="s">
        <v>291</v>
      </c>
      <c r="AN38" s="26" t="s">
        <v>291</v>
      </c>
      <c r="AO38" s="26" t="s">
        <v>291</v>
      </c>
      <c r="AP38" s="26" t="s">
        <v>291</v>
      </c>
      <c r="AQ38" s="27" t="s">
        <v>291</v>
      </c>
      <c r="AR38" s="27" t="s">
        <v>291</v>
      </c>
      <c r="AS38" s="27" t="s">
        <v>291</v>
      </c>
      <c r="AT38" s="27" t="s">
        <v>291</v>
      </c>
      <c r="AU38" s="27" t="s">
        <v>291</v>
      </c>
      <c r="AV38" s="27" t="s">
        <v>291</v>
      </c>
      <c r="AW38" s="27" t="s">
        <v>291</v>
      </c>
      <c r="AX38" s="27" t="s">
        <v>291</v>
      </c>
      <c r="AY38" s="26" t="s">
        <v>291</v>
      </c>
      <c r="AZ38" s="26" t="s">
        <v>291</v>
      </c>
      <c r="BA38" s="26" t="s">
        <v>291</v>
      </c>
      <c r="BB38" s="26" t="s">
        <v>291</v>
      </c>
      <c r="BC38" s="26" t="s">
        <v>291</v>
      </c>
      <c r="BD38">
        <f t="shared" si="3"/>
        <v>0</v>
      </c>
      <c r="BE38" s="20">
        <f t="shared" si="4"/>
        <v>0</v>
      </c>
      <c r="BG38" s="122" t="s">
        <v>377</v>
      </c>
      <c r="BH38" s="151" t="s">
        <v>481</v>
      </c>
      <c r="BI38" s="133">
        <v>10</v>
      </c>
      <c r="BJ38" s="133">
        <v>10</v>
      </c>
      <c r="BK38" t="str">
        <f t="shared" si="2"/>
        <v/>
      </c>
    </row>
    <row r="39" spans="1:63" ht="15.5" x14ac:dyDescent="0.35">
      <c r="A39" t="s">
        <v>82</v>
      </c>
      <c r="B39" s="14" t="s">
        <v>82</v>
      </c>
      <c r="C39" s="44" t="s">
        <v>81</v>
      </c>
      <c r="D39" s="41" t="s">
        <v>72</v>
      </c>
      <c r="E39" s="15" t="s">
        <v>291</v>
      </c>
      <c r="F39" s="15" t="s">
        <v>291</v>
      </c>
      <c r="G39" s="15" t="s">
        <v>291</v>
      </c>
      <c r="H39" s="15" t="s">
        <v>291</v>
      </c>
      <c r="I39" s="15" t="s">
        <v>291</v>
      </c>
      <c r="J39" s="15" t="s">
        <v>291</v>
      </c>
      <c r="K39" s="15" t="s">
        <v>291</v>
      </c>
      <c r="L39" s="15" t="s">
        <v>291</v>
      </c>
      <c r="M39" s="32" t="s">
        <v>285</v>
      </c>
      <c r="N39" s="32" t="s">
        <v>285</v>
      </c>
      <c r="O39" s="28" t="s">
        <v>285</v>
      </c>
      <c r="P39" s="24" t="s">
        <v>291</v>
      </c>
      <c r="Q39" s="24" t="s">
        <v>291</v>
      </c>
      <c r="R39" s="24" t="s">
        <v>291</v>
      </c>
      <c r="S39" s="24" t="s">
        <v>291</v>
      </c>
      <c r="T39" s="24" t="s">
        <v>291</v>
      </c>
      <c r="U39" s="25" t="s">
        <v>291</v>
      </c>
      <c r="V39" s="25" t="s">
        <v>291</v>
      </c>
      <c r="W39" s="42" t="s">
        <v>291</v>
      </c>
      <c r="X39" s="26" t="s">
        <v>291</v>
      </c>
      <c r="Y39" s="26" t="s">
        <v>291</v>
      </c>
      <c r="Z39" s="26" t="s">
        <v>291</v>
      </c>
      <c r="AA39" s="26" t="s">
        <v>291</v>
      </c>
      <c r="AB39" s="26" t="s">
        <v>291</v>
      </c>
      <c r="AC39" s="26" t="s">
        <v>291</v>
      </c>
      <c r="AD39" s="26" t="s">
        <v>291</v>
      </c>
      <c r="AE39" s="26" t="s">
        <v>291</v>
      </c>
      <c r="AF39" s="26" t="s">
        <v>291</v>
      </c>
      <c r="AG39" s="26" t="s">
        <v>291</v>
      </c>
      <c r="AH39" s="26" t="s">
        <v>291</v>
      </c>
      <c r="AI39" s="26" t="s">
        <v>291</v>
      </c>
      <c r="AJ39" s="26" t="s">
        <v>291</v>
      </c>
      <c r="AK39" s="27" t="s">
        <v>291</v>
      </c>
      <c r="AL39" s="26" t="s">
        <v>291</v>
      </c>
      <c r="AM39" s="26" t="s">
        <v>291</v>
      </c>
      <c r="AN39" s="26" t="s">
        <v>291</v>
      </c>
      <c r="AO39" s="26" t="s">
        <v>291</v>
      </c>
      <c r="AP39" s="26" t="s">
        <v>291</v>
      </c>
      <c r="AQ39" s="27" t="s">
        <v>291</v>
      </c>
      <c r="AR39" s="27" t="s">
        <v>291</v>
      </c>
      <c r="AS39" s="45" t="s">
        <v>285</v>
      </c>
      <c r="AT39" s="27" t="s">
        <v>291</v>
      </c>
      <c r="AU39" s="27" t="s">
        <v>291</v>
      </c>
      <c r="AV39" s="27" t="s">
        <v>291</v>
      </c>
      <c r="AW39" s="27" t="s">
        <v>291</v>
      </c>
      <c r="AX39" s="27" t="s">
        <v>291</v>
      </c>
      <c r="AY39" s="26" t="s">
        <v>291</v>
      </c>
      <c r="AZ39" s="26" t="s">
        <v>291</v>
      </c>
      <c r="BA39" s="26" t="s">
        <v>291</v>
      </c>
      <c r="BB39" s="26" t="s">
        <v>291</v>
      </c>
      <c r="BC39" s="26" t="s">
        <v>291</v>
      </c>
      <c r="BD39">
        <f t="shared" si="3"/>
        <v>4</v>
      </c>
      <c r="BE39" s="20">
        <f t="shared" si="4"/>
        <v>0</v>
      </c>
      <c r="BG39" s="122" t="s">
        <v>378</v>
      </c>
      <c r="BH39" s="151" t="s">
        <v>482</v>
      </c>
      <c r="BI39" s="130"/>
      <c r="BJ39" s="130"/>
      <c r="BK39">
        <f t="shared" si="2"/>
        <v>20</v>
      </c>
    </row>
    <row r="40" spans="1:63" ht="15.5" x14ac:dyDescent="0.35">
      <c r="A40" t="s">
        <v>83</v>
      </c>
      <c r="B40" s="14" t="s">
        <v>83</v>
      </c>
      <c r="C40" s="44" t="s">
        <v>84</v>
      </c>
      <c r="D40" s="41" t="s">
        <v>72</v>
      </c>
      <c r="E40" s="15" t="s">
        <v>291</v>
      </c>
      <c r="F40" s="15" t="s">
        <v>291</v>
      </c>
      <c r="G40" s="15" t="s">
        <v>291</v>
      </c>
      <c r="H40" s="15" t="s">
        <v>291</v>
      </c>
      <c r="I40" s="15" t="s">
        <v>291</v>
      </c>
      <c r="J40" s="15" t="s">
        <v>291</v>
      </c>
      <c r="K40" s="15" t="s">
        <v>291</v>
      </c>
      <c r="L40" s="15" t="s">
        <v>291</v>
      </c>
      <c r="M40" s="15" t="s">
        <v>291</v>
      </c>
      <c r="N40" s="15" t="s">
        <v>291</v>
      </c>
      <c r="O40" s="23" t="s">
        <v>291</v>
      </c>
      <c r="P40" s="24" t="s">
        <v>291</v>
      </c>
      <c r="Q40" s="24" t="s">
        <v>291</v>
      </c>
      <c r="R40" s="24" t="s">
        <v>291</v>
      </c>
      <c r="S40" s="24" t="s">
        <v>291</v>
      </c>
      <c r="T40" s="24" t="s">
        <v>291</v>
      </c>
      <c r="U40" s="25" t="s">
        <v>291</v>
      </c>
      <c r="V40" s="25" t="s">
        <v>291</v>
      </c>
      <c r="W40" s="42" t="s">
        <v>291</v>
      </c>
      <c r="X40" s="26" t="s">
        <v>291</v>
      </c>
      <c r="Y40" s="26" t="s">
        <v>291</v>
      </c>
      <c r="Z40" s="26" t="s">
        <v>291</v>
      </c>
      <c r="AA40" s="26" t="s">
        <v>291</v>
      </c>
      <c r="AB40" s="26" t="s">
        <v>291</v>
      </c>
      <c r="AC40" s="26" t="s">
        <v>291</v>
      </c>
      <c r="AD40" s="26" t="s">
        <v>291</v>
      </c>
      <c r="AE40" s="26" t="s">
        <v>291</v>
      </c>
      <c r="AF40" s="26" t="s">
        <v>291</v>
      </c>
      <c r="AG40" s="26" t="s">
        <v>291</v>
      </c>
      <c r="AH40" s="26" t="s">
        <v>291</v>
      </c>
      <c r="AI40" s="26" t="s">
        <v>291</v>
      </c>
      <c r="AJ40" s="26" t="s">
        <v>291</v>
      </c>
      <c r="AK40" s="27" t="s">
        <v>291</v>
      </c>
      <c r="AL40" s="26" t="s">
        <v>291</v>
      </c>
      <c r="AM40" s="26" t="s">
        <v>291</v>
      </c>
      <c r="AN40" s="26" t="s">
        <v>291</v>
      </c>
      <c r="AO40" s="26" t="s">
        <v>291</v>
      </c>
      <c r="AP40" s="26" t="s">
        <v>291</v>
      </c>
      <c r="AQ40" s="27" t="s">
        <v>291</v>
      </c>
      <c r="AR40" s="27" t="s">
        <v>291</v>
      </c>
      <c r="AS40" s="27" t="s">
        <v>291</v>
      </c>
      <c r="AT40" s="27" t="s">
        <v>291</v>
      </c>
      <c r="AU40" s="27" t="s">
        <v>291</v>
      </c>
      <c r="AV40" s="27" t="s">
        <v>291</v>
      </c>
      <c r="AW40" s="27" t="s">
        <v>292</v>
      </c>
      <c r="AX40" s="27" t="s">
        <v>291</v>
      </c>
      <c r="AY40" s="26" t="s">
        <v>291</v>
      </c>
      <c r="AZ40" s="26" t="s">
        <v>291</v>
      </c>
      <c r="BA40" s="26" t="s">
        <v>291</v>
      </c>
      <c r="BB40" s="26" t="s">
        <v>291</v>
      </c>
      <c r="BC40" s="26" t="s">
        <v>291</v>
      </c>
      <c r="BD40">
        <f t="shared" si="3"/>
        <v>0</v>
      </c>
      <c r="BE40" s="20">
        <f t="shared" si="4"/>
        <v>1</v>
      </c>
      <c r="BG40" s="122" t="s">
        <v>83</v>
      </c>
      <c r="BH40" s="151" t="s">
        <v>483</v>
      </c>
      <c r="BI40" s="130"/>
      <c r="BJ40" s="130"/>
      <c r="BK40">
        <f t="shared" si="2"/>
        <v>20</v>
      </c>
    </row>
    <row r="41" spans="1:63" ht="15.5" x14ac:dyDescent="0.35">
      <c r="A41" t="s">
        <v>85</v>
      </c>
      <c r="B41" s="14" t="s">
        <v>85</v>
      </c>
      <c r="C41" s="44" t="s">
        <v>86</v>
      </c>
      <c r="D41" s="41" t="s">
        <v>72</v>
      </c>
      <c r="E41" s="15" t="s">
        <v>291</v>
      </c>
      <c r="F41" s="15" t="s">
        <v>291</v>
      </c>
      <c r="G41" s="15" t="s">
        <v>291</v>
      </c>
      <c r="H41" s="15" t="s">
        <v>291</v>
      </c>
      <c r="I41" s="15" t="s">
        <v>291</v>
      </c>
      <c r="J41" s="15" t="s">
        <v>291</v>
      </c>
      <c r="K41" s="15" t="s">
        <v>291</v>
      </c>
      <c r="L41" s="15" t="s">
        <v>291</v>
      </c>
      <c r="M41" s="15" t="s">
        <v>291</v>
      </c>
      <c r="N41" s="15" t="s">
        <v>291</v>
      </c>
      <c r="O41" s="23" t="s">
        <v>291</v>
      </c>
      <c r="P41" s="24" t="s">
        <v>291</v>
      </c>
      <c r="Q41" s="24" t="s">
        <v>291</v>
      </c>
      <c r="R41" s="24" t="s">
        <v>291</v>
      </c>
      <c r="S41" s="24" t="s">
        <v>291</v>
      </c>
      <c r="T41" s="24" t="s">
        <v>291</v>
      </c>
      <c r="U41" s="25" t="s">
        <v>291</v>
      </c>
      <c r="V41" s="25" t="s">
        <v>291</v>
      </c>
      <c r="W41" s="46" t="s">
        <v>285</v>
      </c>
      <c r="X41" s="26" t="s">
        <v>291</v>
      </c>
      <c r="Y41" s="26" t="s">
        <v>291</v>
      </c>
      <c r="Z41" s="29" t="s">
        <v>285</v>
      </c>
      <c r="AA41" s="26" t="s">
        <v>291</v>
      </c>
      <c r="AB41" s="26" t="s">
        <v>291</v>
      </c>
      <c r="AC41" s="26" t="s">
        <v>291</v>
      </c>
      <c r="AD41" s="26" t="s">
        <v>291</v>
      </c>
      <c r="AE41" s="26" t="s">
        <v>291</v>
      </c>
      <c r="AF41" s="26" t="s">
        <v>291</v>
      </c>
      <c r="AG41" s="26" t="s">
        <v>291</v>
      </c>
      <c r="AH41" s="26" t="s">
        <v>291</v>
      </c>
      <c r="AI41" s="26" t="s">
        <v>291</v>
      </c>
      <c r="AJ41" s="26" t="s">
        <v>291</v>
      </c>
      <c r="AK41" s="27" t="s">
        <v>291</v>
      </c>
      <c r="AL41" s="26" t="s">
        <v>291</v>
      </c>
      <c r="AM41" s="26" t="s">
        <v>291</v>
      </c>
      <c r="AN41" s="26" t="s">
        <v>291</v>
      </c>
      <c r="AO41" s="26" t="s">
        <v>291</v>
      </c>
      <c r="AP41" s="26" t="s">
        <v>291</v>
      </c>
      <c r="AQ41" s="27" t="s">
        <v>291</v>
      </c>
      <c r="AR41" s="27" t="s">
        <v>291</v>
      </c>
      <c r="AS41" s="27" t="s">
        <v>291</v>
      </c>
      <c r="AT41" s="27" t="s">
        <v>291</v>
      </c>
      <c r="AU41" s="27" t="s">
        <v>291</v>
      </c>
      <c r="AV41" s="27" t="s">
        <v>291</v>
      </c>
      <c r="AW41" s="27" t="s">
        <v>291</v>
      </c>
      <c r="AX41" s="27" t="s">
        <v>291</v>
      </c>
      <c r="AY41" s="26" t="s">
        <v>291</v>
      </c>
      <c r="AZ41" s="26" t="s">
        <v>291</v>
      </c>
      <c r="BA41" s="26" t="s">
        <v>291</v>
      </c>
      <c r="BB41" s="26" t="s">
        <v>291</v>
      </c>
      <c r="BC41" s="26" t="s">
        <v>291</v>
      </c>
      <c r="BD41">
        <f t="shared" si="3"/>
        <v>2</v>
      </c>
      <c r="BE41" s="20">
        <f t="shared" si="4"/>
        <v>0</v>
      </c>
      <c r="BG41" s="122" t="s">
        <v>379</v>
      </c>
      <c r="BH41" s="151" t="s">
        <v>484</v>
      </c>
      <c r="BI41" s="130"/>
      <c r="BJ41" s="130"/>
      <c r="BK41">
        <f t="shared" si="2"/>
        <v>20</v>
      </c>
    </row>
    <row r="42" spans="1:63" ht="15.5" x14ac:dyDescent="0.35">
      <c r="A42" t="s">
        <v>87</v>
      </c>
      <c r="B42" s="14" t="s">
        <v>87</v>
      </c>
      <c r="C42" s="44" t="s">
        <v>88</v>
      </c>
      <c r="D42" s="41" t="s">
        <v>72</v>
      </c>
      <c r="E42" s="15" t="s">
        <v>291</v>
      </c>
      <c r="F42" s="15" t="s">
        <v>292</v>
      </c>
      <c r="G42" s="15" t="s">
        <v>291</v>
      </c>
      <c r="H42" s="15" t="s">
        <v>291</v>
      </c>
      <c r="I42" s="15" t="s">
        <v>291</v>
      </c>
      <c r="J42" s="15" t="s">
        <v>291</v>
      </c>
      <c r="K42" s="15" t="s">
        <v>291</v>
      </c>
      <c r="L42" s="15" t="s">
        <v>291</v>
      </c>
      <c r="M42" s="15" t="s">
        <v>291</v>
      </c>
      <c r="N42" s="15" t="s">
        <v>291</v>
      </c>
      <c r="O42" s="23" t="s">
        <v>291</v>
      </c>
      <c r="P42" s="24" t="s">
        <v>291</v>
      </c>
      <c r="Q42" s="24" t="s">
        <v>291</v>
      </c>
      <c r="R42" s="24" t="s">
        <v>291</v>
      </c>
      <c r="S42" s="24" t="s">
        <v>291</v>
      </c>
      <c r="T42" s="24" t="s">
        <v>291</v>
      </c>
      <c r="U42" s="25" t="s">
        <v>291</v>
      </c>
      <c r="V42" s="25" t="s">
        <v>291</v>
      </c>
      <c r="W42" s="42" t="s">
        <v>291</v>
      </c>
      <c r="X42" s="26" t="s">
        <v>291</v>
      </c>
      <c r="Y42" s="26" t="s">
        <v>291</v>
      </c>
      <c r="Z42" s="26" t="s">
        <v>291</v>
      </c>
      <c r="AA42" s="26" t="s">
        <v>291</v>
      </c>
      <c r="AB42" s="29" t="s">
        <v>285</v>
      </c>
      <c r="AC42" s="26" t="s">
        <v>291</v>
      </c>
      <c r="AD42" s="26" t="s">
        <v>291</v>
      </c>
      <c r="AE42" s="26" t="s">
        <v>291</v>
      </c>
      <c r="AF42" s="26" t="s">
        <v>291</v>
      </c>
      <c r="AG42" s="26" t="s">
        <v>291</v>
      </c>
      <c r="AH42" s="26" t="s">
        <v>291</v>
      </c>
      <c r="AI42" s="26" t="s">
        <v>291</v>
      </c>
      <c r="AJ42" s="26" t="s">
        <v>291</v>
      </c>
      <c r="AK42" s="27" t="s">
        <v>291</v>
      </c>
      <c r="AL42" s="26" t="s">
        <v>291</v>
      </c>
      <c r="AM42" s="26" t="s">
        <v>291</v>
      </c>
      <c r="AN42" s="26" t="s">
        <v>291</v>
      </c>
      <c r="AO42" s="26" t="s">
        <v>291</v>
      </c>
      <c r="AP42" s="26" t="s">
        <v>291</v>
      </c>
      <c r="AQ42" s="27" t="s">
        <v>291</v>
      </c>
      <c r="AR42" s="27" t="s">
        <v>291</v>
      </c>
      <c r="AS42" s="27" t="s">
        <v>291</v>
      </c>
      <c r="AT42" s="27" t="s">
        <v>291</v>
      </c>
      <c r="AU42" s="27" t="s">
        <v>291</v>
      </c>
      <c r="AV42" s="27" t="s">
        <v>291</v>
      </c>
      <c r="AW42" s="27" t="s">
        <v>291</v>
      </c>
      <c r="AX42" s="27" t="s">
        <v>291</v>
      </c>
      <c r="AY42" s="26" t="s">
        <v>291</v>
      </c>
      <c r="AZ42" s="26" t="s">
        <v>291</v>
      </c>
      <c r="BA42" s="26" t="s">
        <v>291</v>
      </c>
      <c r="BB42" s="26" t="s">
        <v>291</v>
      </c>
      <c r="BC42" s="26" t="s">
        <v>291</v>
      </c>
      <c r="BD42">
        <f t="shared" si="3"/>
        <v>1</v>
      </c>
      <c r="BE42" s="20">
        <f t="shared" si="4"/>
        <v>1</v>
      </c>
      <c r="BG42" s="122" t="s">
        <v>380</v>
      </c>
      <c r="BH42" s="151" t="s">
        <v>485</v>
      </c>
      <c r="BI42" s="130"/>
      <c r="BJ42" s="130"/>
      <c r="BK42">
        <f t="shared" si="2"/>
        <v>20</v>
      </c>
    </row>
    <row r="43" spans="1:63" ht="15.5" x14ac:dyDescent="0.35">
      <c r="A43" t="s">
        <v>89</v>
      </c>
      <c r="B43" s="14" t="s">
        <v>89</v>
      </c>
      <c r="C43" s="44" t="s">
        <v>90</v>
      </c>
      <c r="D43" s="41" t="s">
        <v>72</v>
      </c>
      <c r="E43" s="15" t="s">
        <v>291</v>
      </c>
      <c r="F43" s="32" t="s">
        <v>285</v>
      </c>
      <c r="G43" s="32" t="s">
        <v>285</v>
      </c>
      <c r="H43" s="32" t="s">
        <v>285</v>
      </c>
      <c r="I43" s="32" t="s">
        <v>285</v>
      </c>
      <c r="J43" s="15" t="s">
        <v>291</v>
      </c>
      <c r="K43" s="15" t="s">
        <v>291</v>
      </c>
      <c r="L43" s="15" t="s">
        <v>291</v>
      </c>
      <c r="M43" s="15" t="s">
        <v>291</v>
      </c>
      <c r="N43" s="15" t="s">
        <v>291</v>
      </c>
      <c r="O43" s="23" t="s">
        <v>291</v>
      </c>
      <c r="P43" s="24" t="s">
        <v>291</v>
      </c>
      <c r="Q43" s="24" t="s">
        <v>291</v>
      </c>
      <c r="R43" s="24" t="s">
        <v>291</v>
      </c>
      <c r="S43" s="24" t="s">
        <v>291</v>
      </c>
      <c r="T43" s="24" t="s">
        <v>291</v>
      </c>
      <c r="U43" s="25" t="s">
        <v>291</v>
      </c>
      <c r="V43" s="25" t="s">
        <v>291</v>
      </c>
      <c r="W43" s="42" t="s">
        <v>291</v>
      </c>
      <c r="X43" s="26" t="s">
        <v>291</v>
      </c>
      <c r="Y43" s="26" t="s">
        <v>291</v>
      </c>
      <c r="Z43" s="26" t="s">
        <v>291</v>
      </c>
      <c r="AA43" s="26" t="s">
        <v>291</v>
      </c>
      <c r="AB43" s="26" t="s">
        <v>291</v>
      </c>
      <c r="AC43" s="26" t="s">
        <v>291</v>
      </c>
      <c r="AD43" s="26" t="s">
        <v>291</v>
      </c>
      <c r="AE43" s="26" t="s">
        <v>291</v>
      </c>
      <c r="AF43" s="26" t="s">
        <v>291</v>
      </c>
      <c r="AG43" s="26" t="s">
        <v>291</v>
      </c>
      <c r="AH43" s="26" t="s">
        <v>291</v>
      </c>
      <c r="AI43" s="29" t="s">
        <v>285</v>
      </c>
      <c r="AJ43" s="29" t="s">
        <v>285</v>
      </c>
      <c r="AK43" s="27" t="s">
        <v>291</v>
      </c>
      <c r="AL43" s="26" t="s">
        <v>291</v>
      </c>
      <c r="AM43" s="26" t="s">
        <v>291</v>
      </c>
      <c r="AN43" s="26" t="s">
        <v>291</v>
      </c>
      <c r="AO43" s="26" t="s">
        <v>291</v>
      </c>
      <c r="AP43" s="26" t="s">
        <v>291</v>
      </c>
      <c r="AQ43" s="27" t="s">
        <v>291</v>
      </c>
      <c r="AR43" s="27" t="s">
        <v>291</v>
      </c>
      <c r="AS43" s="27" t="s">
        <v>291</v>
      </c>
      <c r="AT43" s="27" t="s">
        <v>291</v>
      </c>
      <c r="AU43" s="27" t="s">
        <v>291</v>
      </c>
      <c r="AV43" s="27" t="s">
        <v>291</v>
      </c>
      <c r="AW43" s="27" t="s">
        <v>291</v>
      </c>
      <c r="AX43" s="27" t="s">
        <v>291</v>
      </c>
      <c r="AY43" s="26" t="s">
        <v>291</v>
      </c>
      <c r="AZ43" s="26" t="s">
        <v>291</v>
      </c>
      <c r="BA43" s="26" t="s">
        <v>291</v>
      </c>
      <c r="BB43" s="29" t="s">
        <v>285</v>
      </c>
      <c r="BC43" s="26" t="s">
        <v>291</v>
      </c>
      <c r="BD43">
        <f t="shared" si="3"/>
        <v>7</v>
      </c>
      <c r="BE43" s="20">
        <f t="shared" si="4"/>
        <v>0</v>
      </c>
      <c r="BG43" s="122" t="s">
        <v>381</v>
      </c>
      <c r="BH43" s="151" t="s">
        <v>486</v>
      </c>
      <c r="BI43" s="133">
        <v>10</v>
      </c>
      <c r="BJ43" s="133">
        <v>10</v>
      </c>
      <c r="BK43" t="str">
        <f t="shared" si="2"/>
        <v/>
      </c>
    </row>
    <row r="44" spans="1:63" ht="15.5" x14ac:dyDescent="0.35">
      <c r="A44" t="s">
        <v>91</v>
      </c>
      <c r="B44" s="14" t="s">
        <v>91</v>
      </c>
      <c r="C44" s="44" t="s">
        <v>92</v>
      </c>
      <c r="D44" s="41" t="s">
        <v>72</v>
      </c>
      <c r="E44" s="15" t="s">
        <v>291</v>
      </c>
      <c r="F44" s="15" t="s">
        <v>291</v>
      </c>
      <c r="G44" s="15" t="s">
        <v>291</v>
      </c>
      <c r="H44" s="15" t="s">
        <v>291</v>
      </c>
      <c r="I44" s="15" t="s">
        <v>291</v>
      </c>
      <c r="J44" s="15" t="s">
        <v>291</v>
      </c>
      <c r="K44" s="15" t="s">
        <v>291</v>
      </c>
      <c r="L44" s="15" t="s">
        <v>291</v>
      </c>
      <c r="M44" s="15" t="s">
        <v>291</v>
      </c>
      <c r="N44" s="15" t="s">
        <v>291</v>
      </c>
      <c r="O44" s="23" t="s">
        <v>291</v>
      </c>
      <c r="P44" s="24" t="s">
        <v>291</v>
      </c>
      <c r="Q44" s="38" t="s">
        <v>285</v>
      </c>
      <c r="R44" s="24" t="s">
        <v>291</v>
      </c>
      <c r="S44" s="24" t="s">
        <v>291</v>
      </c>
      <c r="T44" s="24" t="s">
        <v>291</v>
      </c>
      <c r="U44" s="25" t="s">
        <v>291</v>
      </c>
      <c r="V44" s="25" t="s">
        <v>291</v>
      </c>
      <c r="W44" s="42" t="s">
        <v>291</v>
      </c>
      <c r="X44" s="26" t="s">
        <v>291</v>
      </c>
      <c r="Y44" s="26" t="s">
        <v>291</v>
      </c>
      <c r="Z44" s="26" t="s">
        <v>291</v>
      </c>
      <c r="AA44" s="26" t="s">
        <v>291</v>
      </c>
      <c r="AB44" s="26" t="s">
        <v>291</v>
      </c>
      <c r="AC44" s="26" t="s">
        <v>291</v>
      </c>
      <c r="AD44" s="26" t="s">
        <v>291</v>
      </c>
      <c r="AE44" s="26" t="s">
        <v>291</v>
      </c>
      <c r="AF44" s="26" t="s">
        <v>291</v>
      </c>
      <c r="AG44" s="26" t="s">
        <v>291</v>
      </c>
      <c r="AH44" s="26" t="s">
        <v>291</v>
      </c>
      <c r="AI44" s="26" t="s">
        <v>291</v>
      </c>
      <c r="AJ44" s="26" t="s">
        <v>291</v>
      </c>
      <c r="AK44" s="45" t="s">
        <v>285</v>
      </c>
      <c r="AL44" s="26" t="s">
        <v>291</v>
      </c>
      <c r="AM44" s="26" t="s">
        <v>291</v>
      </c>
      <c r="AN44" s="26" t="s">
        <v>291</v>
      </c>
      <c r="AO44" s="26" t="s">
        <v>291</v>
      </c>
      <c r="AP44" s="26" t="s">
        <v>291</v>
      </c>
      <c r="AQ44" s="27" t="s">
        <v>291</v>
      </c>
      <c r="AR44" s="45" t="s">
        <v>285</v>
      </c>
      <c r="AS44" s="27" t="s">
        <v>291</v>
      </c>
      <c r="AT44" s="27" t="s">
        <v>291</v>
      </c>
      <c r="AU44" s="27" t="s">
        <v>291</v>
      </c>
      <c r="AV44" s="27" t="s">
        <v>291</v>
      </c>
      <c r="AW44" s="27" t="s">
        <v>291</v>
      </c>
      <c r="AX44" s="45" t="s">
        <v>285</v>
      </c>
      <c r="AY44" s="26" t="s">
        <v>291</v>
      </c>
      <c r="AZ44" s="26" t="s">
        <v>291</v>
      </c>
      <c r="BA44" s="26" t="s">
        <v>291</v>
      </c>
      <c r="BB44" s="26" t="s">
        <v>291</v>
      </c>
      <c r="BC44" s="26" t="s">
        <v>291</v>
      </c>
      <c r="BD44">
        <f t="shared" si="3"/>
        <v>4</v>
      </c>
      <c r="BE44" s="20">
        <f t="shared" si="4"/>
        <v>0</v>
      </c>
      <c r="BG44" s="122" t="s">
        <v>382</v>
      </c>
      <c r="BH44" s="151" t="s">
        <v>487</v>
      </c>
      <c r="BI44" s="130"/>
      <c r="BJ44" s="130"/>
      <c r="BK44">
        <f t="shared" si="2"/>
        <v>20</v>
      </c>
    </row>
    <row r="45" spans="1:63" ht="15.5" x14ac:dyDescent="0.35">
      <c r="A45" t="s">
        <v>83</v>
      </c>
      <c r="B45" s="14" t="s">
        <v>83</v>
      </c>
      <c r="C45" s="44" t="s">
        <v>93</v>
      </c>
      <c r="D45" s="41" t="s">
        <v>72</v>
      </c>
      <c r="E45" s="15" t="s">
        <v>291</v>
      </c>
      <c r="F45" s="15" t="s">
        <v>291</v>
      </c>
      <c r="G45" s="15" t="s">
        <v>291</v>
      </c>
      <c r="H45" s="15" t="s">
        <v>291</v>
      </c>
      <c r="I45" s="15" t="s">
        <v>291</v>
      </c>
      <c r="J45" s="15" t="s">
        <v>291</v>
      </c>
      <c r="K45" s="15" t="s">
        <v>291</v>
      </c>
      <c r="L45" s="15" t="s">
        <v>291</v>
      </c>
      <c r="M45" s="15" t="s">
        <v>291</v>
      </c>
      <c r="N45" s="15" t="s">
        <v>291</v>
      </c>
      <c r="O45" s="23" t="s">
        <v>291</v>
      </c>
      <c r="P45" s="24" t="s">
        <v>291</v>
      </c>
      <c r="Q45" s="38" t="s">
        <v>285</v>
      </c>
      <c r="R45" s="24" t="s">
        <v>291</v>
      </c>
      <c r="S45" s="24" t="s">
        <v>291</v>
      </c>
      <c r="T45" s="24" t="s">
        <v>291</v>
      </c>
      <c r="U45" s="25" t="s">
        <v>291</v>
      </c>
      <c r="V45" s="25" t="s">
        <v>291</v>
      </c>
      <c r="W45" s="42" t="s">
        <v>291</v>
      </c>
      <c r="X45" s="26" t="s">
        <v>291</v>
      </c>
      <c r="Y45" s="26" t="s">
        <v>291</v>
      </c>
      <c r="Z45" s="26" t="s">
        <v>291</v>
      </c>
      <c r="AA45" s="26" t="s">
        <v>291</v>
      </c>
      <c r="AB45" s="26" t="s">
        <v>291</v>
      </c>
      <c r="AC45" s="26" t="s">
        <v>291</v>
      </c>
      <c r="AD45" s="26" t="s">
        <v>291</v>
      </c>
      <c r="AE45" s="26" t="s">
        <v>291</v>
      </c>
      <c r="AF45" s="29" t="s">
        <v>285</v>
      </c>
      <c r="AG45" s="26" t="s">
        <v>291</v>
      </c>
      <c r="AH45" s="26" t="s">
        <v>291</v>
      </c>
      <c r="AI45" s="26" t="s">
        <v>291</v>
      </c>
      <c r="AJ45" s="26" t="s">
        <v>291</v>
      </c>
      <c r="AK45" s="27" t="s">
        <v>291</v>
      </c>
      <c r="AL45" s="26" t="s">
        <v>291</v>
      </c>
      <c r="AM45" s="29" t="s">
        <v>285</v>
      </c>
      <c r="AN45" s="26" t="s">
        <v>292</v>
      </c>
      <c r="AO45" s="26" t="s">
        <v>291</v>
      </c>
      <c r="AP45" s="26" t="s">
        <v>291</v>
      </c>
      <c r="AQ45" s="27" t="s">
        <v>291</v>
      </c>
      <c r="AR45" s="27" t="s">
        <v>291</v>
      </c>
      <c r="AS45" s="27" t="s">
        <v>291</v>
      </c>
      <c r="AT45" s="27" t="s">
        <v>291</v>
      </c>
      <c r="AU45" s="27" t="s">
        <v>291</v>
      </c>
      <c r="AV45" s="27" t="s">
        <v>291</v>
      </c>
      <c r="AW45" s="27" t="s">
        <v>291</v>
      </c>
      <c r="AX45" s="27" t="s">
        <v>291</v>
      </c>
      <c r="AY45" s="26" t="s">
        <v>291</v>
      </c>
      <c r="AZ45" s="26" t="s">
        <v>291</v>
      </c>
      <c r="BA45" s="26" t="s">
        <v>291</v>
      </c>
      <c r="BB45" s="26" t="s">
        <v>291</v>
      </c>
      <c r="BC45" s="26" t="s">
        <v>292</v>
      </c>
      <c r="BD45">
        <f t="shared" si="3"/>
        <v>3</v>
      </c>
      <c r="BE45" s="20">
        <f t="shared" si="4"/>
        <v>2</v>
      </c>
      <c r="BG45" s="122" t="s">
        <v>383</v>
      </c>
      <c r="BH45" s="151" t="s">
        <v>488</v>
      </c>
      <c r="BI45" s="130"/>
      <c r="BJ45" s="130"/>
      <c r="BK45">
        <f t="shared" si="2"/>
        <v>20</v>
      </c>
    </row>
    <row r="46" spans="1:63" ht="15.5" x14ac:dyDescent="0.35">
      <c r="A46" t="s">
        <v>94</v>
      </c>
      <c r="B46" s="14" t="s">
        <v>94</v>
      </c>
      <c r="C46" s="44" t="s">
        <v>95</v>
      </c>
      <c r="D46" s="41" t="s">
        <v>72</v>
      </c>
      <c r="E46" s="15" t="s">
        <v>291</v>
      </c>
      <c r="F46" s="15" t="s">
        <v>291</v>
      </c>
      <c r="G46" s="15" t="s">
        <v>291</v>
      </c>
      <c r="H46" s="15" t="s">
        <v>291</v>
      </c>
      <c r="I46" s="15" t="s">
        <v>291</v>
      </c>
      <c r="J46" s="15" t="s">
        <v>291</v>
      </c>
      <c r="K46" s="15" t="s">
        <v>291</v>
      </c>
      <c r="L46" s="15" t="s">
        <v>291</v>
      </c>
      <c r="M46" s="15" t="s">
        <v>291</v>
      </c>
      <c r="N46" s="15" t="s">
        <v>291</v>
      </c>
      <c r="O46" s="23" t="s">
        <v>291</v>
      </c>
      <c r="P46" s="24" t="s">
        <v>291</v>
      </c>
      <c r="Q46" s="24" t="s">
        <v>291</v>
      </c>
      <c r="R46" s="24" t="s">
        <v>291</v>
      </c>
      <c r="S46" s="24" t="s">
        <v>291</v>
      </c>
      <c r="T46" s="24" t="s">
        <v>291</v>
      </c>
      <c r="U46" s="25" t="s">
        <v>291</v>
      </c>
      <c r="V46" s="25" t="s">
        <v>291</v>
      </c>
      <c r="W46" s="42" t="s">
        <v>291</v>
      </c>
      <c r="X46" s="26" t="s">
        <v>291</v>
      </c>
      <c r="Y46" s="26" t="s">
        <v>291</v>
      </c>
      <c r="Z46" s="26" t="s">
        <v>291</v>
      </c>
      <c r="AA46" s="26" t="s">
        <v>291</v>
      </c>
      <c r="AB46" s="26" t="s">
        <v>291</v>
      </c>
      <c r="AC46" s="26" t="s">
        <v>291</v>
      </c>
      <c r="AD46" s="26" t="s">
        <v>291</v>
      </c>
      <c r="AE46" s="26" t="s">
        <v>291</v>
      </c>
      <c r="AF46" s="26" t="s">
        <v>291</v>
      </c>
      <c r="AG46" s="26" t="s">
        <v>291</v>
      </c>
      <c r="AH46" s="26" t="s">
        <v>291</v>
      </c>
      <c r="AI46" s="26" t="s">
        <v>291</v>
      </c>
      <c r="AJ46" s="26" t="s">
        <v>291</v>
      </c>
      <c r="AK46" s="27" t="s">
        <v>291</v>
      </c>
      <c r="AL46" s="26" t="s">
        <v>291</v>
      </c>
      <c r="AM46" s="26" t="s">
        <v>291</v>
      </c>
      <c r="AN46" s="26" t="s">
        <v>291</v>
      </c>
      <c r="AO46" s="26" t="s">
        <v>291</v>
      </c>
      <c r="AP46" s="26" t="s">
        <v>291</v>
      </c>
      <c r="AQ46" s="27" t="s">
        <v>291</v>
      </c>
      <c r="AR46" s="27" t="s">
        <v>291</v>
      </c>
      <c r="AS46" s="27" t="s">
        <v>291</v>
      </c>
      <c r="AT46" s="27" t="s">
        <v>292</v>
      </c>
      <c r="AU46" s="27" t="s">
        <v>291</v>
      </c>
      <c r="AV46" s="27" t="s">
        <v>291</v>
      </c>
      <c r="AW46" s="27" t="s">
        <v>291</v>
      </c>
      <c r="AX46" s="27" t="s">
        <v>291</v>
      </c>
      <c r="AY46" s="26" t="s">
        <v>291</v>
      </c>
      <c r="AZ46" s="29" t="s">
        <v>285</v>
      </c>
      <c r="BA46" s="26" t="s">
        <v>291</v>
      </c>
      <c r="BB46" s="26" t="s">
        <v>291</v>
      </c>
      <c r="BC46" s="26" t="s">
        <v>291</v>
      </c>
      <c r="BD46">
        <f t="shared" si="3"/>
        <v>1</v>
      </c>
      <c r="BE46" s="20">
        <f t="shared" si="4"/>
        <v>1</v>
      </c>
      <c r="BG46" s="122" t="s">
        <v>384</v>
      </c>
      <c r="BH46" s="151" t="s">
        <v>489</v>
      </c>
      <c r="BI46" s="130"/>
      <c r="BJ46" s="130"/>
      <c r="BK46">
        <f t="shared" si="2"/>
        <v>20</v>
      </c>
    </row>
    <row r="47" spans="1:63" ht="15.5" x14ac:dyDescent="0.35">
      <c r="A47" t="s">
        <v>96</v>
      </c>
      <c r="B47" s="14" t="s">
        <v>96</v>
      </c>
      <c r="C47" s="44" t="s">
        <v>97</v>
      </c>
      <c r="D47" s="41" t="s">
        <v>72</v>
      </c>
      <c r="E47" s="15" t="s">
        <v>291</v>
      </c>
      <c r="F47" s="15" t="s">
        <v>291</v>
      </c>
      <c r="G47" s="15" t="s">
        <v>291</v>
      </c>
      <c r="H47" s="15" t="s">
        <v>291</v>
      </c>
      <c r="I47" s="15" t="s">
        <v>291</v>
      </c>
      <c r="J47" s="15" t="s">
        <v>291</v>
      </c>
      <c r="K47" s="15" t="s">
        <v>291</v>
      </c>
      <c r="L47" s="15" t="s">
        <v>291</v>
      </c>
      <c r="M47" s="15" t="s">
        <v>291</v>
      </c>
      <c r="N47" s="15" t="s">
        <v>291</v>
      </c>
      <c r="O47" s="23" t="s">
        <v>291</v>
      </c>
      <c r="P47" s="24" t="s">
        <v>291</v>
      </c>
      <c r="Q47" s="24" t="s">
        <v>291</v>
      </c>
      <c r="R47" s="24" t="s">
        <v>291</v>
      </c>
      <c r="S47" s="24" t="s">
        <v>291</v>
      </c>
      <c r="T47" s="24" t="s">
        <v>291</v>
      </c>
      <c r="U47" s="25" t="s">
        <v>291</v>
      </c>
      <c r="V47" s="25" t="s">
        <v>291</v>
      </c>
      <c r="W47" s="42" t="s">
        <v>291</v>
      </c>
      <c r="X47" s="29" t="s">
        <v>285</v>
      </c>
      <c r="Y47" s="29" t="s">
        <v>285</v>
      </c>
      <c r="Z47" s="26" t="s">
        <v>291</v>
      </c>
      <c r="AA47" s="26" t="s">
        <v>291</v>
      </c>
      <c r="AB47" s="26" t="s">
        <v>291</v>
      </c>
      <c r="AC47" s="26" t="s">
        <v>291</v>
      </c>
      <c r="AD47" s="26" t="s">
        <v>291</v>
      </c>
      <c r="AE47" s="26" t="s">
        <v>291</v>
      </c>
      <c r="AF47" s="26" t="s">
        <v>291</v>
      </c>
      <c r="AG47" s="26" t="s">
        <v>291</v>
      </c>
      <c r="AH47" s="26" t="s">
        <v>291</v>
      </c>
      <c r="AI47" s="26" t="s">
        <v>291</v>
      </c>
      <c r="AJ47" s="26" t="s">
        <v>291</v>
      </c>
      <c r="AK47" s="27" t="s">
        <v>291</v>
      </c>
      <c r="AL47" s="26" t="s">
        <v>291</v>
      </c>
      <c r="AM47" s="26" t="s">
        <v>291</v>
      </c>
      <c r="AN47" s="26" t="s">
        <v>291</v>
      </c>
      <c r="AO47" s="26" t="s">
        <v>291</v>
      </c>
      <c r="AP47" s="26" t="s">
        <v>291</v>
      </c>
      <c r="AQ47" s="27" t="s">
        <v>291</v>
      </c>
      <c r="AR47" s="27" t="s">
        <v>291</v>
      </c>
      <c r="AS47" s="27" t="s">
        <v>291</v>
      </c>
      <c r="AT47" s="27" t="s">
        <v>291</v>
      </c>
      <c r="AU47" s="27" t="s">
        <v>291</v>
      </c>
      <c r="AV47" s="27" t="s">
        <v>291</v>
      </c>
      <c r="AW47" s="27" t="s">
        <v>291</v>
      </c>
      <c r="AX47" s="27" t="s">
        <v>291</v>
      </c>
      <c r="AY47" s="26" t="s">
        <v>291</v>
      </c>
      <c r="AZ47" s="26" t="s">
        <v>291</v>
      </c>
      <c r="BA47" s="26" t="s">
        <v>291</v>
      </c>
      <c r="BB47" s="26" t="s">
        <v>291</v>
      </c>
      <c r="BC47" s="26" t="s">
        <v>291</v>
      </c>
      <c r="BD47">
        <f t="shared" si="3"/>
        <v>2</v>
      </c>
      <c r="BE47" s="20">
        <f t="shared" si="4"/>
        <v>0</v>
      </c>
      <c r="BG47" s="122" t="s">
        <v>385</v>
      </c>
      <c r="BH47" s="151" t="s">
        <v>490</v>
      </c>
      <c r="BI47" s="130"/>
      <c r="BJ47" s="130"/>
      <c r="BK47">
        <f t="shared" si="2"/>
        <v>20</v>
      </c>
    </row>
    <row r="48" spans="1:63" ht="15.5" x14ac:dyDescent="0.35">
      <c r="A48" t="s">
        <v>98</v>
      </c>
      <c r="B48" s="14" t="s">
        <v>98</v>
      </c>
      <c r="C48" s="44" t="s">
        <v>99</v>
      </c>
      <c r="D48" s="41" t="s">
        <v>72</v>
      </c>
      <c r="E48" s="15" t="s">
        <v>291</v>
      </c>
      <c r="F48" s="15" t="s">
        <v>291</v>
      </c>
      <c r="G48" s="15" t="s">
        <v>291</v>
      </c>
      <c r="H48" s="15" t="s">
        <v>291</v>
      </c>
      <c r="I48" s="15" t="s">
        <v>291</v>
      </c>
      <c r="J48" s="15" t="s">
        <v>291</v>
      </c>
      <c r="K48" s="15" t="s">
        <v>291</v>
      </c>
      <c r="L48" s="15" t="s">
        <v>291</v>
      </c>
      <c r="M48" s="15" t="s">
        <v>291</v>
      </c>
      <c r="N48" s="15" t="s">
        <v>291</v>
      </c>
      <c r="O48" s="23" t="s">
        <v>291</v>
      </c>
      <c r="P48" s="24" t="s">
        <v>291</v>
      </c>
      <c r="Q48" s="24" t="s">
        <v>291</v>
      </c>
      <c r="R48" s="24" t="s">
        <v>291</v>
      </c>
      <c r="S48" s="24" t="s">
        <v>291</v>
      </c>
      <c r="T48" s="24" t="s">
        <v>291</v>
      </c>
      <c r="U48" s="25" t="s">
        <v>291</v>
      </c>
      <c r="V48" s="25" t="s">
        <v>291</v>
      </c>
      <c r="W48" s="42" t="s">
        <v>291</v>
      </c>
      <c r="X48" s="26" t="s">
        <v>291</v>
      </c>
      <c r="Y48" s="26" t="s">
        <v>291</v>
      </c>
      <c r="Z48" s="26" t="s">
        <v>291</v>
      </c>
      <c r="AA48" s="26" t="s">
        <v>291</v>
      </c>
      <c r="AB48" s="26" t="s">
        <v>291</v>
      </c>
      <c r="AC48" s="26" t="s">
        <v>291</v>
      </c>
      <c r="AD48" s="26" t="s">
        <v>291</v>
      </c>
      <c r="AE48" s="26" t="s">
        <v>291</v>
      </c>
      <c r="AF48" s="26" t="s">
        <v>291</v>
      </c>
      <c r="AG48" s="26" t="s">
        <v>291</v>
      </c>
      <c r="AH48" s="26" t="s">
        <v>291</v>
      </c>
      <c r="AI48" s="26" t="s">
        <v>291</v>
      </c>
      <c r="AJ48" s="26" t="s">
        <v>291</v>
      </c>
      <c r="AK48" s="27" t="s">
        <v>291</v>
      </c>
      <c r="AL48" s="26" t="s">
        <v>291</v>
      </c>
      <c r="AM48" s="26" t="s">
        <v>291</v>
      </c>
      <c r="AN48" s="26" t="s">
        <v>291</v>
      </c>
      <c r="AO48" s="26" t="s">
        <v>291</v>
      </c>
      <c r="AP48" s="26" t="s">
        <v>291</v>
      </c>
      <c r="AQ48" s="45" t="s">
        <v>285</v>
      </c>
      <c r="AR48" s="27" t="s">
        <v>291</v>
      </c>
      <c r="AS48" s="27" t="s">
        <v>291</v>
      </c>
      <c r="AT48" s="27" t="s">
        <v>291</v>
      </c>
      <c r="AU48" s="27" t="s">
        <v>291</v>
      </c>
      <c r="AV48" s="27" t="s">
        <v>291</v>
      </c>
      <c r="AW48" s="27" t="s">
        <v>291</v>
      </c>
      <c r="AX48" s="27" t="s">
        <v>291</v>
      </c>
      <c r="AY48" s="26" t="s">
        <v>291</v>
      </c>
      <c r="AZ48" s="26" t="s">
        <v>291</v>
      </c>
      <c r="BA48" s="26" t="s">
        <v>291</v>
      </c>
      <c r="BB48" s="26" t="s">
        <v>291</v>
      </c>
      <c r="BC48" s="26" t="s">
        <v>291</v>
      </c>
      <c r="BD48">
        <f t="shared" si="3"/>
        <v>1</v>
      </c>
      <c r="BE48" s="20">
        <f t="shared" si="4"/>
        <v>0</v>
      </c>
      <c r="BG48" s="122" t="s">
        <v>98</v>
      </c>
      <c r="BH48" s="151" t="s">
        <v>491</v>
      </c>
      <c r="BI48" s="130"/>
      <c r="BJ48" s="130"/>
      <c r="BK48">
        <f t="shared" si="2"/>
        <v>20</v>
      </c>
    </row>
    <row r="49" spans="1:63" ht="15.5" x14ac:dyDescent="0.35">
      <c r="A49" t="s">
        <v>36</v>
      </c>
      <c r="B49" s="14" t="s">
        <v>36</v>
      </c>
      <c r="C49" s="44" t="s">
        <v>100</v>
      </c>
      <c r="D49" s="41" t="s">
        <v>72</v>
      </c>
      <c r="E49" s="15" t="s">
        <v>291</v>
      </c>
      <c r="F49" s="15" t="s">
        <v>291</v>
      </c>
      <c r="G49" s="15" t="s">
        <v>291</v>
      </c>
      <c r="H49" s="15" t="s">
        <v>291</v>
      </c>
      <c r="I49" s="15" t="s">
        <v>291</v>
      </c>
      <c r="J49" s="15" t="s">
        <v>291</v>
      </c>
      <c r="K49" s="15" t="s">
        <v>291</v>
      </c>
      <c r="L49" s="15" t="s">
        <v>291</v>
      </c>
      <c r="M49" s="15" t="s">
        <v>291</v>
      </c>
      <c r="N49" s="15" t="s">
        <v>291</v>
      </c>
      <c r="O49" s="23" t="s">
        <v>291</v>
      </c>
      <c r="P49" s="24" t="s">
        <v>291</v>
      </c>
      <c r="Q49" s="24" t="s">
        <v>291</v>
      </c>
      <c r="R49" s="24" t="s">
        <v>291</v>
      </c>
      <c r="S49" s="24" t="s">
        <v>291</v>
      </c>
      <c r="T49" s="24" t="s">
        <v>291</v>
      </c>
      <c r="U49" s="25" t="s">
        <v>291</v>
      </c>
      <c r="V49" s="25" t="s">
        <v>291</v>
      </c>
      <c r="W49" s="42" t="s">
        <v>291</v>
      </c>
      <c r="X49" s="26" t="s">
        <v>291</v>
      </c>
      <c r="Y49" s="26" t="s">
        <v>291</v>
      </c>
      <c r="Z49" s="26" t="s">
        <v>291</v>
      </c>
      <c r="AA49" s="26" t="s">
        <v>291</v>
      </c>
      <c r="AB49" s="26" t="s">
        <v>291</v>
      </c>
      <c r="AC49" s="26" t="s">
        <v>291</v>
      </c>
      <c r="AD49" s="26" t="s">
        <v>291</v>
      </c>
      <c r="AE49" s="26" t="s">
        <v>291</v>
      </c>
      <c r="AF49" s="26" t="s">
        <v>291</v>
      </c>
      <c r="AG49" s="26" t="s">
        <v>291</v>
      </c>
      <c r="AH49" s="26" t="s">
        <v>291</v>
      </c>
      <c r="AI49" s="26" t="s">
        <v>291</v>
      </c>
      <c r="AJ49" s="26" t="s">
        <v>291</v>
      </c>
      <c r="AK49" s="27" t="s">
        <v>291</v>
      </c>
      <c r="AL49" s="26" t="s">
        <v>291</v>
      </c>
      <c r="AM49" s="26" t="s">
        <v>291</v>
      </c>
      <c r="AN49" s="26" t="s">
        <v>291</v>
      </c>
      <c r="AO49" s="26" t="s">
        <v>291</v>
      </c>
      <c r="AP49" s="26" t="s">
        <v>291</v>
      </c>
      <c r="AQ49" s="27" t="s">
        <v>291</v>
      </c>
      <c r="AR49" s="27" t="s">
        <v>291</v>
      </c>
      <c r="AS49" s="27" t="s">
        <v>291</v>
      </c>
      <c r="AT49" s="27" t="s">
        <v>291</v>
      </c>
      <c r="AU49" s="27" t="s">
        <v>291</v>
      </c>
      <c r="AV49" s="27" t="s">
        <v>291</v>
      </c>
      <c r="AW49" s="27" t="s">
        <v>291</v>
      </c>
      <c r="AX49" s="27" t="s">
        <v>291</v>
      </c>
      <c r="AY49" s="29" t="s">
        <v>285</v>
      </c>
      <c r="AZ49" s="26" t="s">
        <v>291</v>
      </c>
      <c r="BA49" s="26" t="s">
        <v>291</v>
      </c>
      <c r="BB49" s="26" t="s">
        <v>291</v>
      </c>
      <c r="BC49" s="26" t="s">
        <v>291</v>
      </c>
      <c r="BD49">
        <f t="shared" si="3"/>
        <v>1</v>
      </c>
      <c r="BE49" s="20">
        <f t="shared" si="4"/>
        <v>0</v>
      </c>
      <c r="BG49" s="122" t="s">
        <v>386</v>
      </c>
      <c r="BH49" s="151" t="s">
        <v>492</v>
      </c>
      <c r="BI49" s="133">
        <v>10</v>
      </c>
      <c r="BJ49" s="133">
        <v>10</v>
      </c>
      <c r="BK49" t="str">
        <f t="shared" si="2"/>
        <v/>
      </c>
    </row>
    <row r="50" spans="1:63" ht="15.5" x14ac:dyDescent="0.35">
      <c r="A50" t="s">
        <v>101</v>
      </c>
      <c r="B50" s="14" t="s">
        <v>101</v>
      </c>
      <c r="C50" s="44" t="s">
        <v>102</v>
      </c>
      <c r="D50" s="41" t="s">
        <v>72</v>
      </c>
      <c r="E50" s="15" t="s">
        <v>291</v>
      </c>
      <c r="F50" s="15" t="s">
        <v>291</v>
      </c>
      <c r="G50" s="15" t="s">
        <v>291</v>
      </c>
      <c r="H50" s="15" t="s">
        <v>291</v>
      </c>
      <c r="I50" s="15" t="s">
        <v>291</v>
      </c>
      <c r="J50" s="15" t="s">
        <v>291</v>
      </c>
      <c r="K50" s="15" t="s">
        <v>291</v>
      </c>
      <c r="L50" s="15" t="s">
        <v>291</v>
      </c>
      <c r="M50" s="15" t="s">
        <v>291</v>
      </c>
      <c r="N50" s="15" t="s">
        <v>291</v>
      </c>
      <c r="O50" s="23" t="s">
        <v>291</v>
      </c>
      <c r="P50" s="24" t="s">
        <v>291</v>
      </c>
      <c r="Q50" s="24" t="s">
        <v>291</v>
      </c>
      <c r="R50" s="24" t="s">
        <v>291</v>
      </c>
      <c r="S50" s="24" t="s">
        <v>291</v>
      </c>
      <c r="T50" s="24" t="s">
        <v>291</v>
      </c>
      <c r="U50" s="25" t="s">
        <v>291</v>
      </c>
      <c r="V50" s="25" t="s">
        <v>291</v>
      </c>
      <c r="W50" s="42" t="s">
        <v>291</v>
      </c>
      <c r="X50" s="26" t="s">
        <v>291</v>
      </c>
      <c r="Y50" s="26" t="s">
        <v>291</v>
      </c>
      <c r="Z50" s="26" t="s">
        <v>291</v>
      </c>
      <c r="AA50" s="26" t="s">
        <v>291</v>
      </c>
      <c r="AB50" s="26" t="s">
        <v>291</v>
      </c>
      <c r="AC50" s="26" t="s">
        <v>291</v>
      </c>
      <c r="AD50" s="26" t="s">
        <v>291</v>
      </c>
      <c r="AE50" s="26" t="s">
        <v>291</v>
      </c>
      <c r="AF50" s="26" t="s">
        <v>291</v>
      </c>
      <c r="AG50" s="26" t="s">
        <v>291</v>
      </c>
      <c r="AH50" s="26" t="s">
        <v>291</v>
      </c>
      <c r="AI50" s="26" t="s">
        <v>291</v>
      </c>
      <c r="AJ50" s="26" t="s">
        <v>291</v>
      </c>
      <c r="AK50" s="27" t="s">
        <v>291</v>
      </c>
      <c r="AL50" s="27" t="s">
        <v>291</v>
      </c>
      <c r="AM50" s="27" t="s">
        <v>291</v>
      </c>
      <c r="AN50" s="27" t="s">
        <v>291</v>
      </c>
      <c r="AO50" s="26" t="s">
        <v>291</v>
      </c>
      <c r="AP50" s="27" t="s">
        <v>291</v>
      </c>
      <c r="AQ50" s="27" t="s">
        <v>291</v>
      </c>
      <c r="AR50" s="27" t="s">
        <v>291</v>
      </c>
      <c r="AS50" s="27" t="s">
        <v>291</v>
      </c>
      <c r="AT50" s="27" t="s">
        <v>291</v>
      </c>
      <c r="AU50" s="27" t="s">
        <v>291</v>
      </c>
      <c r="AV50" s="27" t="s">
        <v>291</v>
      </c>
      <c r="AW50" s="45" t="s">
        <v>285</v>
      </c>
      <c r="AX50" s="45" t="s">
        <v>285</v>
      </c>
      <c r="AY50" s="29" t="s">
        <v>285</v>
      </c>
      <c r="AZ50" s="29" t="s">
        <v>285</v>
      </c>
      <c r="BA50" s="29" t="s">
        <v>285</v>
      </c>
      <c r="BB50" s="26" t="s">
        <v>291</v>
      </c>
      <c r="BC50" s="26" t="s">
        <v>291</v>
      </c>
      <c r="BD50">
        <f t="shared" si="3"/>
        <v>5</v>
      </c>
      <c r="BE50" s="20">
        <f t="shared" si="4"/>
        <v>0</v>
      </c>
      <c r="BG50" s="125" t="s">
        <v>387</v>
      </c>
      <c r="BH50" s="151" t="s">
        <v>493</v>
      </c>
      <c r="BI50" s="130"/>
      <c r="BJ50" s="130"/>
      <c r="BK50">
        <f t="shared" si="2"/>
        <v>20</v>
      </c>
    </row>
    <row r="51" spans="1:63" ht="15.5" x14ac:dyDescent="0.35">
      <c r="A51" t="s">
        <v>103</v>
      </c>
      <c r="B51" s="14" t="s">
        <v>103</v>
      </c>
      <c r="C51" s="44" t="s">
        <v>102</v>
      </c>
      <c r="D51" s="41" t="s">
        <v>72</v>
      </c>
      <c r="E51" s="15" t="s">
        <v>291</v>
      </c>
      <c r="F51" s="15" t="s">
        <v>291</v>
      </c>
      <c r="G51" s="15" t="s">
        <v>291</v>
      </c>
      <c r="H51" s="15" t="s">
        <v>291</v>
      </c>
      <c r="I51" s="15" t="s">
        <v>291</v>
      </c>
      <c r="J51" s="15" t="s">
        <v>291</v>
      </c>
      <c r="K51" s="15" t="s">
        <v>291</v>
      </c>
      <c r="L51" s="15" t="s">
        <v>291</v>
      </c>
      <c r="M51" s="15" t="s">
        <v>291</v>
      </c>
      <c r="N51" s="15" t="s">
        <v>291</v>
      </c>
      <c r="O51" s="23" t="s">
        <v>291</v>
      </c>
      <c r="P51" s="24" t="s">
        <v>291</v>
      </c>
      <c r="Q51" s="24" t="s">
        <v>291</v>
      </c>
      <c r="R51" s="24" t="s">
        <v>291</v>
      </c>
      <c r="S51" s="24" t="s">
        <v>291</v>
      </c>
      <c r="T51" s="24" t="s">
        <v>291</v>
      </c>
      <c r="U51" s="25" t="s">
        <v>291</v>
      </c>
      <c r="V51" s="25" t="s">
        <v>291</v>
      </c>
      <c r="W51" s="42" t="s">
        <v>291</v>
      </c>
      <c r="X51" s="26" t="s">
        <v>291</v>
      </c>
      <c r="Y51" s="26" t="s">
        <v>291</v>
      </c>
      <c r="Z51" s="26" t="s">
        <v>291</v>
      </c>
      <c r="AA51" s="26" t="s">
        <v>291</v>
      </c>
      <c r="AB51" s="26" t="s">
        <v>291</v>
      </c>
      <c r="AC51" s="26" t="s">
        <v>291</v>
      </c>
      <c r="AD51" s="26" t="s">
        <v>291</v>
      </c>
      <c r="AE51" s="26" t="s">
        <v>291</v>
      </c>
      <c r="AF51" s="26" t="s">
        <v>291</v>
      </c>
      <c r="AG51" s="26" t="s">
        <v>291</v>
      </c>
      <c r="AH51" s="26" t="s">
        <v>291</v>
      </c>
      <c r="AI51" s="26" t="s">
        <v>291</v>
      </c>
      <c r="AJ51" s="26" t="s">
        <v>291</v>
      </c>
      <c r="AK51" s="27" t="s">
        <v>291</v>
      </c>
      <c r="AL51" s="26" t="s">
        <v>291</v>
      </c>
      <c r="AM51" s="26" t="s">
        <v>291</v>
      </c>
      <c r="AN51" s="26" t="s">
        <v>291</v>
      </c>
      <c r="AO51" s="26" t="s">
        <v>291</v>
      </c>
      <c r="AP51" s="26" t="s">
        <v>291</v>
      </c>
      <c r="AQ51" s="27" t="s">
        <v>291</v>
      </c>
      <c r="AR51" s="27" t="s">
        <v>291</v>
      </c>
      <c r="AS51" s="27" t="s">
        <v>291</v>
      </c>
      <c r="AT51" s="27" t="s">
        <v>291</v>
      </c>
      <c r="AU51" s="27" t="s">
        <v>291</v>
      </c>
      <c r="AV51" s="27" t="s">
        <v>291</v>
      </c>
      <c r="AW51" s="27" t="s">
        <v>291</v>
      </c>
      <c r="AX51" s="27" t="s">
        <v>291</v>
      </c>
      <c r="AY51" s="26" t="s">
        <v>291</v>
      </c>
      <c r="AZ51" s="26" t="s">
        <v>291</v>
      </c>
      <c r="BA51" s="26" t="s">
        <v>291</v>
      </c>
      <c r="BB51" s="26" t="s">
        <v>291</v>
      </c>
      <c r="BC51" s="26" t="s">
        <v>291</v>
      </c>
      <c r="BD51">
        <f t="shared" si="3"/>
        <v>0</v>
      </c>
      <c r="BE51" s="20">
        <f t="shared" si="4"/>
        <v>0</v>
      </c>
      <c r="BG51" s="122" t="s">
        <v>388</v>
      </c>
      <c r="BH51" s="151" t="s">
        <v>494</v>
      </c>
      <c r="BI51" s="133">
        <v>10</v>
      </c>
      <c r="BJ51" s="133">
        <v>10</v>
      </c>
      <c r="BK51" t="str">
        <f t="shared" si="2"/>
        <v/>
      </c>
    </row>
    <row r="52" spans="1:63" ht="15.5" x14ac:dyDescent="0.35">
      <c r="A52" t="s">
        <v>54</v>
      </c>
      <c r="B52" s="14" t="s">
        <v>54</v>
      </c>
      <c r="C52" s="44" t="s">
        <v>104</v>
      </c>
      <c r="D52" s="41" t="s">
        <v>72</v>
      </c>
      <c r="E52" s="15" t="s">
        <v>291</v>
      </c>
      <c r="F52" s="15" t="s">
        <v>291</v>
      </c>
      <c r="G52" s="15" t="s">
        <v>291</v>
      </c>
      <c r="H52" s="15" t="s">
        <v>291</v>
      </c>
      <c r="I52" s="15" t="s">
        <v>291</v>
      </c>
      <c r="J52" s="15" t="s">
        <v>291</v>
      </c>
      <c r="K52" s="15" t="s">
        <v>291</v>
      </c>
      <c r="L52" s="15" t="s">
        <v>291</v>
      </c>
      <c r="M52" s="15" t="s">
        <v>291</v>
      </c>
      <c r="N52" s="15" t="s">
        <v>291</v>
      </c>
      <c r="O52" s="23" t="s">
        <v>291</v>
      </c>
      <c r="P52" s="24" t="s">
        <v>291</v>
      </c>
      <c r="Q52" s="24" t="s">
        <v>291</v>
      </c>
      <c r="R52" s="24" t="s">
        <v>291</v>
      </c>
      <c r="S52" s="24" t="s">
        <v>291</v>
      </c>
      <c r="T52" s="24" t="s">
        <v>291</v>
      </c>
      <c r="U52" s="25" t="s">
        <v>291</v>
      </c>
      <c r="V52" s="25" t="s">
        <v>291</v>
      </c>
      <c r="W52" s="42" t="s">
        <v>291</v>
      </c>
      <c r="X52" s="26" t="s">
        <v>291</v>
      </c>
      <c r="Y52" s="26" t="s">
        <v>291</v>
      </c>
      <c r="Z52" s="26" t="s">
        <v>291</v>
      </c>
      <c r="AA52" s="26" t="s">
        <v>291</v>
      </c>
      <c r="AB52" s="26" t="s">
        <v>291</v>
      </c>
      <c r="AC52" s="26" t="s">
        <v>291</v>
      </c>
      <c r="AD52" s="26" t="s">
        <v>292</v>
      </c>
      <c r="AE52" s="26" t="s">
        <v>291</v>
      </c>
      <c r="AF52" s="26" t="s">
        <v>291</v>
      </c>
      <c r="AG52" s="26" t="s">
        <v>291</v>
      </c>
      <c r="AH52" s="26" t="s">
        <v>291</v>
      </c>
      <c r="AI52" s="26" t="s">
        <v>291</v>
      </c>
      <c r="AJ52" s="26" t="s">
        <v>291</v>
      </c>
      <c r="AK52" s="27" t="s">
        <v>291</v>
      </c>
      <c r="AL52" s="26" t="s">
        <v>291</v>
      </c>
      <c r="AM52" s="26" t="s">
        <v>291</v>
      </c>
      <c r="AN52" s="26" t="s">
        <v>291</v>
      </c>
      <c r="AO52" s="26" t="s">
        <v>291</v>
      </c>
      <c r="AP52" s="26" t="s">
        <v>291</v>
      </c>
      <c r="AQ52" s="27" t="s">
        <v>291</v>
      </c>
      <c r="AR52" s="27" t="s">
        <v>291</v>
      </c>
      <c r="AS52" s="27" t="s">
        <v>291</v>
      </c>
      <c r="AT52" s="27" t="s">
        <v>291</v>
      </c>
      <c r="AU52" s="27" t="s">
        <v>291</v>
      </c>
      <c r="AV52" s="27" t="s">
        <v>291</v>
      </c>
      <c r="AW52" s="27" t="s">
        <v>291</v>
      </c>
      <c r="AX52" s="27" t="s">
        <v>291</v>
      </c>
      <c r="AY52" s="26" t="s">
        <v>291</v>
      </c>
      <c r="AZ52" s="26" t="s">
        <v>291</v>
      </c>
      <c r="BA52" s="26" t="s">
        <v>291</v>
      </c>
      <c r="BB52" s="26" t="s">
        <v>291</v>
      </c>
      <c r="BC52" s="26" t="s">
        <v>291</v>
      </c>
      <c r="BD52">
        <f t="shared" si="3"/>
        <v>0</v>
      </c>
      <c r="BE52" s="20">
        <f t="shared" si="4"/>
        <v>1</v>
      </c>
      <c r="BG52" s="122" t="s">
        <v>366</v>
      </c>
      <c r="BH52" s="151" t="s">
        <v>495</v>
      </c>
      <c r="BI52" s="130"/>
      <c r="BJ52" s="130"/>
      <c r="BK52">
        <f t="shared" si="2"/>
        <v>20</v>
      </c>
    </row>
    <row r="53" spans="1:63" ht="15.5" x14ac:dyDescent="0.35">
      <c r="A53" t="s">
        <v>105</v>
      </c>
      <c r="B53" s="14" t="s">
        <v>105</v>
      </c>
      <c r="C53" s="44" t="s">
        <v>106</v>
      </c>
      <c r="D53" s="41" t="s">
        <v>72</v>
      </c>
      <c r="E53" s="15" t="s">
        <v>291</v>
      </c>
      <c r="F53" s="15" t="s">
        <v>291</v>
      </c>
      <c r="G53" s="15" t="s">
        <v>291</v>
      </c>
      <c r="H53" s="15" t="s">
        <v>291</v>
      </c>
      <c r="I53" s="15" t="s">
        <v>291</v>
      </c>
      <c r="J53" s="15" t="s">
        <v>291</v>
      </c>
      <c r="K53" s="15" t="s">
        <v>291</v>
      </c>
      <c r="L53" s="15" t="s">
        <v>291</v>
      </c>
      <c r="M53" s="15" t="s">
        <v>291</v>
      </c>
      <c r="N53" s="15" t="s">
        <v>291</v>
      </c>
      <c r="O53" s="23" t="s">
        <v>291</v>
      </c>
      <c r="P53" s="24" t="s">
        <v>291</v>
      </c>
      <c r="Q53" s="24" t="s">
        <v>291</v>
      </c>
      <c r="R53" s="24" t="s">
        <v>291</v>
      </c>
      <c r="S53" s="24" t="s">
        <v>291</v>
      </c>
      <c r="T53" s="24" t="s">
        <v>291</v>
      </c>
      <c r="U53" s="25" t="s">
        <v>291</v>
      </c>
      <c r="V53" s="25" t="s">
        <v>291</v>
      </c>
      <c r="W53" s="42" t="s">
        <v>291</v>
      </c>
      <c r="X53" s="26" t="s">
        <v>291</v>
      </c>
      <c r="Y53" s="26" t="s">
        <v>291</v>
      </c>
      <c r="Z53" s="26" t="s">
        <v>291</v>
      </c>
      <c r="AA53" s="26" t="s">
        <v>291</v>
      </c>
      <c r="AB53" s="26" t="s">
        <v>291</v>
      </c>
      <c r="AC53" s="26" t="s">
        <v>291</v>
      </c>
      <c r="AD53" s="26" t="s">
        <v>291</v>
      </c>
      <c r="AE53" s="26" t="s">
        <v>291</v>
      </c>
      <c r="AF53" s="26" t="s">
        <v>291</v>
      </c>
      <c r="AG53" s="26" t="s">
        <v>291</v>
      </c>
      <c r="AH53" s="26" t="s">
        <v>291</v>
      </c>
      <c r="AI53" s="26" t="s">
        <v>291</v>
      </c>
      <c r="AJ53" s="26" t="s">
        <v>291</v>
      </c>
      <c r="AK53" s="27" t="s">
        <v>291</v>
      </c>
      <c r="AL53" s="26" t="s">
        <v>291</v>
      </c>
      <c r="AM53" s="26" t="s">
        <v>291</v>
      </c>
      <c r="AN53" s="26" t="s">
        <v>291</v>
      </c>
      <c r="AO53" s="26" t="s">
        <v>291</v>
      </c>
      <c r="AP53" s="26" t="s">
        <v>291</v>
      </c>
      <c r="AQ53" s="27" t="s">
        <v>291</v>
      </c>
      <c r="AR53" s="27" t="s">
        <v>291</v>
      </c>
      <c r="AS53" s="27" t="s">
        <v>291</v>
      </c>
      <c r="AT53" s="27" t="s">
        <v>291</v>
      </c>
      <c r="AU53" s="27" t="s">
        <v>291</v>
      </c>
      <c r="AV53" s="27" t="s">
        <v>291</v>
      </c>
      <c r="AW53" s="27" t="s">
        <v>291</v>
      </c>
      <c r="AX53" s="27" t="s">
        <v>291</v>
      </c>
      <c r="AY53" s="26" t="s">
        <v>291</v>
      </c>
      <c r="AZ53" s="26" t="s">
        <v>291</v>
      </c>
      <c r="BA53" s="26" t="s">
        <v>291</v>
      </c>
      <c r="BB53" s="26" t="s">
        <v>291</v>
      </c>
      <c r="BC53" s="26" t="s">
        <v>291</v>
      </c>
      <c r="BD53">
        <f t="shared" si="3"/>
        <v>0</v>
      </c>
      <c r="BE53" s="20">
        <f t="shared" si="4"/>
        <v>0</v>
      </c>
      <c r="BG53" s="122" t="s">
        <v>389</v>
      </c>
      <c r="BH53" s="151" t="s">
        <v>106</v>
      </c>
      <c r="BI53" s="130"/>
      <c r="BJ53" s="130"/>
      <c r="BK53">
        <f t="shared" si="2"/>
        <v>20</v>
      </c>
    </row>
    <row r="54" spans="1:63" ht="15.5" x14ac:dyDescent="0.35">
      <c r="A54" t="s">
        <v>107</v>
      </c>
      <c r="B54" s="14" t="s">
        <v>107</v>
      </c>
      <c r="C54" s="44" t="s">
        <v>108</v>
      </c>
      <c r="D54" s="41" t="s">
        <v>72</v>
      </c>
      <c r="E54" s="15" t="s">
        <v>291</v>
      </c>
      <c r="F54" s="15" t="s">
        <v>291</v>
      </c>
      <c r="G54" s="15" t="s">
        <v>291</v>
      </c>
      <c r="H54" s="15" t="s">
        <v>291</v>
      </c>
      <c r="I54" s="15" t="s">
        <v>291</v>
      </c>
      <c r="J54" s="15" t="s">
        <v>291</v>
      </c>
      <c r="K54" s="15" t="s">
        <v>291</v>
      </c>
      <c r="L54" s="15" t="s">
        <v>291</v>
      </c>
      <c r="M54" s="15" t="s">
        <v>291</v>
      </c>
      <c r="N54" s="15" t="s">
        <v>291</v>
      </c>
      <c r="O54" s="23" t="s">
        <v>291</v>
      </c>
      <c r="P54" s="24" t="s">
        <v>291</v>
      </c>
      <c r="Q54" s="24" t="s">
        <v>291</v>
      </c>
      <c r="R54" s="24" t="s">
        <v>291</v>
      </c>
      <c r="S54" s="24" t="s">
        <v>291</v>
      </c>
      <c r="T54" s="24" t="s">
        <v>291</v>
      </c>
      <c r="U54" s="25" t="s">
        <v>291</v>
      </c>
      <c r="V54" s="25" t="s">
        <v>291</v>
      </c>
      <c r="W54" s="42" t="s">
        <v>291</v>
      </c>
      <c r="X54" s="26" t="s">
        <v>291</v>
      </c>
      <c r="Y54" s="26" t="s">
        <v>291</v>
      </c>
      <c r="Z54" s="26" t="s">
        <v>291</v>
      </c>
      <c r="AA54" s="26" t="s">
        <v>291</v>
      </c>
      <c r="AB54" s="26" t="s">
        <v>291</v>
      </c>
      <c r="AC54" s="26" t="s">
        <v>291</v>
      </c>
      <c r="AD54" s="26" t="s">
        <v>291</v>
      </c>
      <c r="AE54" s="26" t="s">
        <v>291</v>
      </c>
      <c r="AF54" s="26" t="s">
        <v>291</v>
      </c>
      <c r="AG54" s="26" t="s">
        <v>291</v>
      </c>
      <c r="AH54" s="26" t="s">
        <v>291</v>
      </c>
      <c r="AI54" s="26" t="s">
        <v>291</v>
      </c>
      <c r="AJ54" s="26" t="s">
        <v>291</v>
      </c>
      <c r="AK54" s="27" t="s">
        <v>291</v>
      </c>
      <c r="AL54" s="26" t="s">
        <v>291</v>
      </c>
      <c r="AM54" s="26" t="s">
        <v>291</v>
      </c>
      <c r="AN54" s="26" t="s">
        <v>291</v>
      </c>
      <c r="AO54" s="26" t="s">
        <v>291</v>
      </c>
      <c r="AP54" s="26" t="s">
        <v>291</v>
      </c>
      <c r="AQ54" s="27" t="s">
        <v>291</v>
      </c>
      <c r="AR54" s="27" t="s">
        <v>291</v>
      </c>
      <c r="AS54" s="27" t="s">
        <v>291</v>
      </c>
      <c r="AT54" s="27" t="s">
        <v>291</v>
      </c>
      <c r="AU54" s="27" t="s">
        <v>291</v>
      </c>
      <c r="AV54" s="27" t="s">
        <v>291</v>
      </c>
      <c r="AW54" s="27" t="s">
        <v>291</v>
      </c>
      <c r="AX54" s="27" t="s">
        <v>291</v>
      </c>
      <c r="AY54" s="26" t="s">
        <v>291</v>
      </c>
      <c r="AZ54" s="26" t="s">
        <v>291</v>
      </c>
      <c r="BA54" s="26" t="s">
        <v>291</v>
      </c>
      <c r="BB54" s="26" t="s">
        <v>291</v>
      </c>
      <c r="BC54" s="26" t="s">
        <v>291</v>
      </c>
      <c r="BD54">
        <f t="shared" si="3"/>
        <v>0</v>
      </c>
      <c r="BE54" s="20">
        <f t="shared" si="4"/>
        <v>0</v>
      </c>
      <c r="BG54" s="122" t="s">
        <v>107</v>
      </c>
      <c r="BH54" s="151" t="s">
        <v>108</v>
      </c>
      <c r="BI54" s="133">
        <v>10</v>
      </c>
      <c r="BJ54" s="133">
        <v>10</v>
      </c>
      <c r="BK54" t="str">
        <f t="shared" si="2"/>
        <v/>
      </c>
    </row>
    <row r="55" spans="1:63" ht="15.5" x14ac:dyDescent="0.35">
      <c r="A55" t="s">
        <v>109</v>
      </c>
      <c r="B55" s="36" t="s">
        <v>109</v>
      </c>
      <c r="C55" s="47" t="s">
        <v>110</v>
      </c>
      <c r="D55" s="41" t="s">
        <v>72</v>
      </c>
      <c r="E55" s="15" t="s">
        <v>291</v>
      </c>
      <c r="F55" s="15" t="s">
        <v>292</v>
      </c>
      <c r="G55" s="15" t="s">
        <v>291</v>
      </c>
      <c r="H55" s="15" t="s">
        <v>291</v>
      </c>
      <c r="I55" s="15" t="s">
        <v>291</v>
      </c>
      <c r="J55" s="15" t="s">
        <v>291</v>
      </c>
      <c r="K55" s="15" t="s">
        <v>291</v>
      </c>
      <c r="L55" s="15" t="s">
        <v>291</v>
      </c>
      <c r="M55" s="15" t="s">
        <v>291</v>
      </c>
      <c r="N55" s="15" t="s">
        <v>291</v>
      </c>
      <c r="O55" s="23" t="s">
        <v>291</v>
      </c>
      <c r="P55" s="24" t="s">
        <v>291</v>
      </c>
      <c r="Q55" s="24" t="s">
        <v>291</v>
      </c>
      <c r="R55" s="24" t="s">
        <v>291</v>
      </c>
      <c r="S55" s="24" t="s">
        <v>291</v>
      </c>
      <c r="T55" s="24" t="s">
        <v>291</v>
      </c>
      <c r="U55" s="25" t="s">
        <v>291</v>
      </c>
      <c r="V55" s="25" t="s">
        <v>291</v>
      </c>
      <c r="W55" s="42" t="s">
        <v>291</v>
      </c>
      <c r="X55" s="26" t="s">
        <v>291</v>
      </c>
      <c r="Y55" s="26" t="s">
        <v>291</v>
      </c>
      <c r="Z55" s="26" t="s">
        <v>291</v>
      </c>
      <c r="AA55" s="26" t="s">
        <v>291</v>
      </c>
      <c r="AB55" s="26" t="s">
        <v>291</v>
      </c>
      <c r="AC55" s="26" t="s">
        <v>291</v>
      </c>
      <c r="AD55" s="26" t="s">
        <v>291</v>
      </c>
      <c r="AE55" s="26" t="s">
        <v>291</v>
      </c>
      <c r="AF55" s="26" t="s">
        <v>291</v>
      </c>
      <c r="AG55" s="26" t="s">
        <v>291</v>
      </c>
      <c r="AH55" s="26" t="s">
        <v>291</v>
      </c>
      <c r="AI55" s="26" t="s">
        <v>291</v>
      </c>
      <c r="AJ55" s="26" t="s">
        <v>291</v>
      </c>
      <c r="AK55" s="27" t="s">
        <v>291</v>
      </c>
      <c r="AL55" s="26" t="s">
        <v>291</v>
      </c>
      <c r="AM55" s="26" t="s">
        <v>291</v>
      </c>
      <c r="AN55" s="26" t="s">
        <v>291</v>
      </c>
      <c r="AO55" s="26" t="s">
        <v>291</v>
      </c>
      <c r="AP55" s="26" t="s">
        <v>291</v>
      </c>
      <c r="AQ55" s="27" t="s">
        <v>291</v>
      </c>
      <c r="AR55" s="27" t="s">
        <v>291</v>
      </c>
      <c r="AS55" s="27" t="s">
        <v>291</v>
      </c>
      <c r="AT55" s="27" t="s">
        <v>291</v>
      </c>
      <c r="AU55" s="27" t="s">
        <v>291</v>
      </c>
      <c r="AV55" s="27" t="s">
        <v>291</v>
      </c>
      <c r="AW55" s="27" t="s">
        <v>291</v>
      </c>
      <c r="AX55" s="27" t="s">
        <v>291</v>
      </c>
      <c r="AY55" s="26" t="s">
        <v>291</v>
      </c>
      <c r="AZ55" s="26" t="s">
        <v>291</v>
      </c>
      <c r="BA55" s="26" t="s">
        <v>291</v>
      </c>
      <c r="BB55" s="26" t="s">
        <v>292</v>
      </c>
      <c r="BC55" s="29" t="s">
        <v>285</v>
      </c>
      <c r="BD55">
        <f t="shared" si="3"/>
        <v>1</v>
      </c>
      <c r="BE55" s="20">
        <f t="shared" si="4"/>
        <v>2</v>
      </c>
      <c r="BG55" s="122" t="s">
        <v>390</v>
      </c>
      <c r="BH55" s="151" t="s">
        <v>496</v>
      </c>
      <c r="BI55" s="130"/>
      <c r="BJ55" s="130"/>
      <c r="BK55">
        <f t="shared" si="2"/>
        <v>20</v>
      </c>
    </row>
    <row r="56" spans="1:63" ht="15.5" x14ac:dyDescent="0.35">
      <c r="A56" t="s">
        <v>111</v>
      </c>
      <c r="B56" s="14" t="s">
        <v>111</v>
      </c>
      <c r="C56" s="22" t="s">
        <v>112</v>
      </c>
      <c r="D56" s="41" t="s">
        <v>72</v>
      </c>
      <c r="E56" s="15" t="s">
        <v>291</v>
      </c>
      <c r="F56" s="15" t="s">
        <v>291</v>
      </c>
      <c r="G56" s="15" t="s">
        <v>291</v>
      </c>
      <c r="H56" s="15" t="s">
        <v>291</v>
      </c>
      <c r="I56" s="15" t="s">
        <v>291</v>
      </c>
      <c r="J56" s="15" t="s">
        <v>291</v>
      </c>
      <c r="K56" s="15" t="s">
        <v>291</v>
      </c>
      <c r="L56" s="15" t="s">
        <v>291</v>
      </c>
      <c r="M56" s="15" t="s">
        <v>291</v>
      </c>
      <c r="N56" s="15" t="s">
        <v>291</v>
      </c>
      <c r="O56" s="23" t="s">
        <v>291</v>
      </c>
      <c r="P56" s="24" t="s">
        <v>291</v>
      </c>
      <c r="Q56" s="24" t="s">
        <v>291</v>
      </c>
      <c r="R56" s="24" t="s">
        <v>291</v>
      </c>
      <c r="S56" s="24" t="s">
        <v>291</v>
      </c>
      <c r="T56" s="24" t="s">
        <v>291</v>
      </c>
      <c r="U56" s="25" t="s">
        <v>291</v>
      </c>
      <c r="V56" s="25" t="s">
        <v>291</v>
      </c>
      <c r="W56" s="42" t="s">
        <v>291</v>
      </c>
      <c r="X56" s="26" t="s">
        <v>291</v>
      </c>
      <c r="Y56" s="26" t="s">
        <v>291</v>
      </c>
      <c r="Z56" s="26" t="s">
        <v>291</v>
      </c>
      <c r="AA56" s="26" t="s">
        <v>291</v>
      </c>
      <c r="AB56" s="26" t="s">
        <v>291</v>
      </c>
      <c r="AC56" s="26" t="s">
        <v>291</v>
      </c>
      <c r="AD56" s="26" t="s">
        <v>291</v>
      </c>
      <c r="AE56" s="26" t="s">
        <v>291</v>
      </c>
      <c r="AF56" s="26" t="s">
        <v>291</v>
      </c>
      <c r="AG56" s="26" t="s">
        <v>292</v>
      </c>
      <c r="AH56" s="26" t="s">
        <v>291</v>
      </c>
      <c r="AI56" s="26" t="s">
        <v>291</v>
      </c>
      <c r="AJ56" s="26" t="s">
        <v>291</v>
      </c>
      <c r="AK56" s="27" t="s">
        <v>291</v>
      </c>
      <c r="AL56" s="26" t="s">
        <v>291</v>
      </c>
      <c r="AM56" s="26" t="s">
        <v>291</v>
      </c>
      <c r="AN56" s="26" t="s">
        <v>291</v>
      </c>
      <c r="AO56" s="26" t="s">
        <v>291</v>
      </c>
      <c r="AP56" s="26" t="s">
        <v>291</v>
      </c>
      <c r="AQ56" s="27" t="s">
        <v>291</v>
      </c>
      <c r="AR56" s="27" t="s">
        <v>291</v>
      </c>
      <c r="AS56" s="27" t="s">
        <v>291</v>
      </c>
      <c r="AT56" s="27" t="s">
        <v>291</v>
      </c>
      <c r="AU56" s="27" t="s">
        <v>291</v>
      </c>
      <c r="AV56" s="27" t="s">
        <v>291</v>
      </c>
      <c r="AW56" s="27" t="s">
        <v>291</v>
      </c>
      <c r="AX56" s="27" t="s">
        <v>291</v>
      </c>
      <c r="AY56" s="26" t="s">
        <v>291</v>
      </c>
      <c r="AZ56" s="26" t="s">
        <v>291</v>
      </c>
      <c r="BA56" s="26" t="s">
        <v>291</v>
      </c>
      <c r="BB56" s="26" t="s">
        <v>291</v>
      </c>
      <c r="BC56" s="26" t="s">
        <v>291</v>
      </c>
      <c r="BD56">
        <f t="shared" si="3"/>
        <v>0</v>
      </c>
      <c r="BE56" s="20">
        <f t="shared" si="4"/>
        <v>1</v>
      </c>
      <c r="BG56" s="122" t="s">
        <v>391</v>
      </c>
      <c r="BH56" s="151" t="s">
        <v>497</v>
      </c>
      <c r="BI56" s="133">
        <v>10</v>
      </c>
      <c r="BJ56" s="133">
        <v>10</v>
      </c>
      <c r="BK56" t="str">
        <f t="shared" si="2"/>
        <v/>
      </c>
    </row>
    <row r="57" spans="1:63" ht="15.5" x14ac:dyDescent="0.35">
      <c r="A57" t="s">
        <v>113</v>
      </c>
      <c r="B57" s="14" t="s">
        <v>113</v>
      </c>
      <c r="C57" s="22" t="s">
        <v>114</v>
      </c>
      <c r="D57" s="41" t="s">
        <v>72</v>
      </c>
      <c r="E57" s="15" t="s">
        <v>291</v>
      </c>
      <c r="F57" s="15" t="s">
        <v>291</v>
      </c>
      <c r="G57" s="15" t="s">
        <v>291</v>
      </c>
      <c r="H57" s="15" t="s">
        <v>291</v>
      </c>
      <c r="I57" s="15" t="s">
        <v>291</v>
      </c>
      <c r="J57" s="15" t="s">
        <v>291</v>
      </c>
      <c r="K57" s="15" t="s">
        <v>291</v>
      </c>
      <c r="L57" s="15" t="s">
        <v>291</v>
      </c>
      <c r="M57" s="15" t="s">
        <v>291</v>
      </c>
      <c r="N57" s="15" t="s">
        <v>291</v>
      </c>
      <c r="O57" s="23" t="s">
        <v>291</v>
      </c>
      <c r="P57" s="24" t="s">
        <v>291</v>
      </c>
      <c r="Q57" s="24" t="s">
        <v>291</v>
      </c>
      <c r="R57" s="24" t="s">
        <v>291</v>
      </c>
      <c r="S57" s="24" t="s">
        <v>291</v>
      </c>
      <c r="T57" s="24" t="s">
        <v>291</v>
      </c>
      <c r="U57" s="25" t="s">
        <v>291</v>
      </c>
      <c r="V57" s="25" t="s">
        <v>291</v>
      </c>
      <c r="W57" s="42" t="s">
        <v>291</v>
      </c>
      <c r="X57" s="26" t="s">
        <v>291</v>
      </c>
      <c r="Y57" s="26" t="s">
        <v>291</v>
      </c>
      <c r="Z57" s="26" t="s">
        <v>291</v>
      </c>
      <c r="AA57" s="26" t="s">
        <v>291</v>
      </c>
      <c r="AB57" s="26" t="s">
        <v>291</v>
      </c>
      <c r="AC57" s="26" t="s">
        <v>291</v>
      </c>
      <c r="AD57" s="26" t="s">
        <v>291</v>
      </c>
      <c r="AE57" s="26" t="s">
        <v>291</v>
      </c>
      <c r="AF57" s="26" t="s">
        <v>291</v>
      </c>
      <c r="AG57" s="26" t="s">
        <v>291</v>
      </c>
      <c r="AH57" s="26" t="s">
        <v>291</v>
      </c>
      <c r="AI57" s="26" t="s">
        <v>291</v>
      </c>
      <c r="AJ57" s="26" t="s">
        <v>291</v>
      </c>
      <c r="AK57" s="27" t="s">
        <v>291</v>
      </c>
      <c r="AL57" s="26" t="s">
        <v>291</v>
      </c>
      <c r="AM57" s="26" t="s">
        <v>291</v>
      </c>
      <c r="AN57" s="26" t="s">
        <v>291</v>
      </c>
      <c r="AO57" s="26" t="s">
        <v>291</v>
      </c>
      <c r="AP57" s="26" t="s">
        <v>291</v>
      </c>
      <c r="AQ57" s="27" t="s">
        <v>291</v>
      </c>
      <c r="AR57" s="27" t="s">
        <v>291</v>
      </c>
      <c r="AS57" s="27" t="s">
        <v>291</v>
      </c>
      <c r="AT57" s="27" t="s">
        <v>291</v>
      </c>
      <c r="AU57" s="27" t="s">
        <v>291</v>
      </c>
      <c r="AV57" s="27" t="s">
        <v>291</v>
      </c>
      <c r="AW57" s="27" t="s">
        <v>291</v>
      </c>
      <c r="AX57" s="27" t="s">
        <v>291</v>
      </c>
      <c r="AY57" s="26" t="s">
        <v>291</v>
      </c>
      <c r="AZ57" s="26" t="s">
        <v>291</v>
      </c>
      <c r="BA57" s="26" t="s">
        <v>291</v>
      </c>
      <c r="BB57" s="26" t="s">
        <v>291</v>
      </c>
      <c r="BC57" s="26" t="s">
        <v>291</v>
      </c>
      <c r="BD57">
        <f t="shared" si="3"/>
        <v>0</v>
      </c>
      <c r="BE57" s="20">
        <f t="shared" si="4"/>
        <v>0</v>
      </c>
      <c r="BG57" s="125" t="s">
        <v>392</v>
      </c>
      <c r="BH57" s="152" t="s">
        <v>498</v>
      </c>
      <c r="BI57" s="130"/>
      <c r="BJ57" s="130"/>
      <c r="BK57">
        <f t="shared" si="2"/>
        <v>20</v>
      </c>
    </row>
    <row r="58" spans="1:63" ht="15.5" x14ac:dyDescent="0.35">
      <c r="A58" t="s">
        <v>115</v>
      </c>
      <c r="B58" s="14" t="s">
        <v>115</v>
      </c>
      <c r="C58" s="22" t="s">
        <v>116</v>
      </c>
      <c r="D58" s="41" t="s">
        <v>72</v>
      </c>
      <c r="E58" s="15" t="s">
        <v>291</v>
      </c>
      <c r="F58" s="15" t="s">
        <v>291</v>
      </c>
      <c r="G58" s="15" t="s">
        <v>291</v>
      </c>
      <c r="H58" s="15" t="s">
        <v>291</v>
      </c>
      <c r="I58" s="15" t="s">
        <v>291</v>
      </c>
      <c r="J58" s="15" t="s">
        <v>291</v>
      </c>
      <c r="K58" s="15" t="s">
        <v>291</v>
      </c>
      <c r="L58" s="15" t="s">
        <v>291</v>
      </c>
      <c r="M58" s="15" t="s">
        <v>291</v>
      </c>
      <c r="N58" s="15" t="s">
        <v>291</v>
      </c>
      <c r="O58" s="23" t="s">
        <v>291</v>
      </c>
      <c r="P58" s="24" t="s">
        <v>291</v>
      </c>
      <c r="Q58" s="24" t="s">
        <v>291</v>
      </c>
      <c r="R58" s="24" t="s">
        <v>291</v>
      </c>
      <c r="S58" s="24" t="s">
        <v>291</v>
      </c>
      <c r="T58" s="24" t="s">
        <v>291</v>
      </c>
      <c r="U58" s="25" t="s">
        <v>291</v>
      </c>
      <c r="V58" s="25" t="s">
        <v>291</v>
      </c>
      <c r="W58" s="42" t="s">
        <v>291</v>
      </c>
      <c r="X58" s="26" t="s">
        <v>291</v>
      </c>
      <c r="Y58" s="26" t="s">
        <v>291</v>
      </c>
      <c r="Z58" s="26" t="s">
        <v>291</v>
      </c>
      <c r="AA58" s="26" t="s">
        <v>291</v>
      </c>
      <c r="AB58" s="26" t="s">
        <v>291</v>
      </c>
      <c r="AC58" s="26" t="s">
        <v>291</v>
      </c>
      <c r="AD58" s="26" t="s">
        <v>291</v>
      </c>
      <c r="AE58" s="26" t="s">
        <v>291</v>
      </c>
      <c r="AF58" s="26" t="s">
        <v>291</v>
      </c>
      <c r="AG58" s="26" t="s">
        <v>291</v>
      </c>
      <c r="AH58" s="26" t="s">
        <v>291</v>
      </c>
      <c r="AI58" s="26" t="s">
        <v>291</v>
      </c>
      <c r="AJ58" s="26" t="s">
        <v>291</v>
      </c>
      <c r="AK58" s="27" t="s">
        <v>291</v>
      </c>
      <c r="AL58" s="26" t="s">
        <v>291</v>
      </c>
      <c r="AM58" s="26" t="s">
        <v>291</v>
      </c>
      <c r="AN58" s="26" t="s">
        <v>291</v>
      </c>
      <c r="AO58" s="26" t="s">
        <v>291</v>
      </c>
      <c r="AP58" s="26" t="s">
        <v>291</v>
      </c>
      <c r="AQ58" s="27" t="s">
        <v>291</v>
      </c>
      <c r="AR58" s="27" t="s">
        <v>291</v>
      </c>
      <c r="AS58" s="45" t="s">
        <v>285</v>
      </c>
      <c r="AT58" s="27" t="s">
        <v>291</v>
      </c>
      <c r="AU58" s="27" t="s">
        <v>291</v>
      </c>
      <c r="AV58" s="27" t="s">
        <v>291</v>
      </c>
      <c r="AW58" s="27" t="s">
        <v>291</v>
      </c>
      <c r="AX58" s="27" t="s">
        <v>291</v>
      </c>
      <c r="AY58" s="26" t="s">
        <v>291</v>
      </c>
      <c r="AZ58" s="26" t="s">
        <v>291</v>
      </c>
      <c r="BA58" s="26" t="s">
        <v>291</v>
      </c>
      <c r="BB58" s="26" t="s">
        <v>291</v>
      </c>
      <c r="BC58" s="26" t="s">
        <v>291</v>
      </c>
      <c r="BD58">
        <f t="shared" si="3"/>
        <v>1</v>
      </c>
      <c r="BE58" s="20">
        <f t="shared" si="4"/>
        <v>0</v>
      </c>
      <c r="BG58" s="122" t="s">
        <v>393</v>
      </c>
      <c r="BH58" s="151" t="s">
        <v>499</v>
      </c>
      <c r="BI58" s="133">
        <v>10</v>
      </c>
      <c r="BJ58" s="133">
        <v>10</v>
      </c>
      <c r="BK58" t="str">
        <f t="shared" si="2"/>
        <v/>
      </c>
    </row>
    <row r="59" spans="1:63" ht="15.5" x14ac:dyDescent="0.35">
      <c r="A59" t="s">
        <v>38</v>
      </c>
      <c r="B59" s="14" t="s">
        <v>38</v>
      </c>
      <c r="C59" s="22" t="s">
        <v>117</v>
      </c>
      <c r="D59" s="41" t="s">
        <v>72</v>
      </c>
      <c r="E59" s="15" t="s">
        <v>291</v>
      </c>
      <c r="F59" s="15" t="s">
        <v>291</v>
      </c>
      <c r="G59" s="15" t="s">
        <v>291</v>
      </c>
      <c r="H59" s="15" t="s">
        <v>291</v>
      </c>
      <c r="I59" s="15" t="s">
        <v>291</v>
      </c>
      <c r="J59" s="15" t="s">
        <v>291</v>
      </c>
      <c r="K59" s="15" t="s">
        <v>291</v>
      </c>
      <c r="L59" s="15" t="s">
        <v>291</v>
      </c>
      <c r="M59" s="15" t="s">
        <v>291</v>
      </c>
      <c r="N59" s="15" t="s">
        <v>291</v>
      </c>
      <c r="O59" s="23" t="s">
        <v>291</v>
      </c>
      <c r="P59" s="24" t="s">
        <v>291</v>
      </c>
      <c r="Q59" s="24" t="s">
        <v>291</v>
      </c>
      <c r="R59" s="24" t="s">
        <v>291</v>
      </c>
      <c r="S59" s="24" t="s">
        <v>291</v>
      </c>
      <c r="T59" s="24" t="s">
        <v>291</v>
      </c>
      <c r="U59" s="25" t="s">
        <v>291</v>
      </c>
      <c r="V59" s="25" t="s">
        <v>291</v>
      </c>
      <c r="W59" s="42" t="s">
        <v>291</v>
      </c>
      <c r="X59" s="26" t="s">
        <v>291</v>
      </c>
      <c r="Y59" s="26" t="s">
        <v>291</v>
      </c>
      <c r="Z59" s="26" t="s">
        <v>291</v>
      </c>
      <c r="AA59" s="26" t="s">
        <v>291</v>
      </c>
      <c r="AB59" s="26" t="s">
        <v>291</v>
      </c>
      <c r="AC59" s="26" t="s">
        <v>291</v>
      </c>
      <c r="AD59" s="26" t="s">
        <v>291</v>
      </c>
      <c r="AE59" s="26" t="s">
        <v>291</v>
      </c>
      <c r="AF59" s="26" t="s">
        <v>291</v>
      </c>
      <c r="AG59" s="26" t="s">
        <v>291</v>
      </c>
      <c r="AH59" s="26" t="s">
        <v>291</v>
      </c>
      <c r="AI59" s="26" t="s">
        <v>291</v>
      </c>
      <c r="AJ59" s="26" t="s">
        <v>291</v>
      </c>
      <c r="AK59" s="27" t="s">
        <v>291</v>
      </c>
      <c r="AL59" s="26" t="s">
        <v>291</v>
      </c>
      <c r="AM59" s="26" t="s">
        <v>291</v>
      </c>
      <c r="AN59" s="26" t="s">
        <v>291</v>
      </c>
      <c r="AO59" s="26" t="s">
        <v>291</v>
      </c>
      <c r="AP59" s="26" t="s">
        <v>291</v>
      </c>
      <c r="AQ59" s="27" t="s">
        <v>291</v>
      </c>
      <c r="AR59" s="27" t="s">
        <v>291</v>
      </c>
      <c r="AS59" s="27" t="s">
        <v>291</v>
      </c>
      <c r="AT59" s="27" t="s">
        <v>291</v>
      </c>
      <c r="AU59" s="27" t="s">
        <v>291</v>
      </c>
      <c r="AV59" s="27" t="s">
        <v>291</v>
      </c>
      <c r="AW59" s="27" t="s">
        <v>291</v>
      </c>
      <c r="AX59" s="27" t="s">
        <v>291</v>
      </c>
      <c r="AY59" s="26" t="s">
        <v>291</v>
      </c>
      <c r="AZ59" s="26" t="s">
        <v>291</v>
      </c>
      <c r="BA59" s="26" t="s">
        <v>291</v>
      </c>
      <c r="BB59" s="26" t="s">
        <v>291</v>
      </c>
      <c r="BC59" s="26" t="s">
        <v>291</v>
      </c>
      <c r="BD59">
        <f t="shared" si="3"/>
        <v>0</v>
      </c>
      <c r="BE59" s="20">
        <f t="shared" si="4"/>
        <v>0</v>
      </c>
      <c r="BG59" s="122" t="s">
        <v>38</v>
      </c>
      <c r="BH59" s="151" t="s">
        <v>440</v>
      </c>
      <c r="BI59" s="130"/>
      <c r="BJ59" s="130"/>
      <c r="BK59">
        <f t="shared" si="2"/>
        <v>20</v>
      </c>
    </row>
    <row r="60" spans="1:63" ht="15.5" x14ac:dyDescent="0.35">
      <c r="A60" t="s">
        <v>118</v>
      </c>
      <c r="B60" s="14" t="s">
        <v>118</v>
      </c>
      <c r="C60" s="22" t="s">
        <v>119</v>
      </c>
      <c r="D60" s="41" t="s">
        <v>72</v>
      </c>
      <c r="E60" s="15" t="s">
        <v>291</v>
      </c>
      <c r="F60" s="15" t="s">
        <v>291</v>
      </c>
      <c r="G60" s="15" t="s">
        <v>291</v>
      </c>
      <c r="H60" s="15" t="s">
        <v>291</v>
      </c>
      <c r="I60" s="15" t="s">
        <v>291</v>
      </c>
      <c r="J60" s="15" t="s">
        <v>291</v>
      </c>
      <c r="K60" s="32" t="s">
        <v>285</v>
      </c>
      <c r="L60" s="32" t="s">
        <v>285</v>
      </c>
      <c r="M60" s="15" t="s">
        <v>291</v>
      </c>
      <c r="N60" s="15" t="s">
        <v>291</v>
      </c>
      <c r="O60" s="23" t="s">
        <v>291</v>
      </c>
      <c r="P60" s="24" t="s">
        <v>291</v>
      </c>
      <c r="Q60" s="24" t="s">
        <v>291</v>
      </c>
      <c r="R60" s="24" t="s">
        <v>291</v>
      </c>
      <c r="S60" s="24" t="s">
        <v>291</v>
      </c>
      <c r="T60" s="24" t="s">
        <v>291</v>
      </c>
      <c r="U60" s="25" t="s">
        <v>291</v>
      </c>
      <c r="V60" s="25" t="s">
        <v>291</v>
      </c>
      <c r="W60" s="42" t="s">
        <v>291</v>
      </c>
      <c r="X60" s="26" t="s">
        <v>291</v>
      </c>
      <c r="Y60" s="26" t="s">
        <v>291</v>
      </c>
      <c r="Z60" s="26" t="s">
        <v>291</v>
      </c>
      <c r="AA60" s="26" t="s">
        <v>291</v>
      </c>
      <c r="AB60" s="26" t="s">
        <v>291</v>
      </c>
      <c r="AC60" s="26" t="s">
        <v>291</v>
      </c>
      <c r="AD60" s="26" t="s">
        <v>291</v>
      </c>
      <c r="AE60" s="26" t="s">
        <v>291</v>
      </c>
      <c r="AF60" s="26" t="s">
        <v>291</v>
      </c>
      <c r="AG60" s="26" t="s">
        <v>291</v>
      </c>
      <c r="AH60" s="26" t="s">
        <v>291</v>
      </c>
      <c r="AI60" s="26" t="s">
        <v>291</v>
      </c>
      <c r="AJ60" s="26" t="s">
        <v>291</v>
      </c>
      <c r="AK60" s="27" t="s">
        <v>291</v>
      </c>
      <c r="AL60" s="26" t="s">
        <v>291</v>
      </c>
      <c r="AM60" s="26" t="s">
        <v>291</v>
      </c>
      <c r="AN60" s="26" t="s">
        <v>291</v>
      </c>
      <c r="AO60" s="26" t="s">
        <v>291</v>
      </c>
      <c r="AP60" s="26" t="s">
        <v>291</v>
      </c>
      <c r="AQ60" s="27" t="s">
        <v>291</v>
      </c>
      <c r="AR60" s="27" t="s">
        <v>291</v>
      </c>
      <c r="AS60" s="27" t="s">
        <v>291</v>
      </c>
      <c r="AT60" s="27" t="s">
        <v>291</v>
      </c>
      <c r="AU60" s="27" t="s">
        <v>291</v>
      </c>
      <c r="AV60" s="27" t="s">
        <v>291</v>
      </c>
      <c r="AW60" s="27" t="s">
        <v>292</v>
      </c>
      <c r="AX60" s="27" t="s">
        <v>291</v>
      </c>
      <c r="AY60" s="26" t="s">
        <v>291</v>
      </c>
      <c r="AZ60" s="26" t="s">
        <v>291</v>
      </c>
      <c r="BA60" s="26" t="s">
        <v>291</v>
      </c>
      <c r="BB60" s="26" t="s">
        <v>291</v>
      </c>
      <c r="BC60" s="26" t="s">
        <v>291</v>
      </c>
      <c r="BD60">
        <f t="shared" si="3"/>
        <v>2</v>
      </c>
      <c r="BE60" s="20">
        <f t="shared" si="4"/>
        <v>1</v>
      </c>
      <c r="BG60" s="123" t="s">
        <v>118</v>
      </c>
      <c r="BH60" s="150" t="s">
        <v>442</v>
      </c>
      <c r="BI60" s="130"/>
      <c r="BJ60" s="130"/>
      <c r="BK60">
        <f t="shared" si="2"/>
        <v>20</v>
      </c>
    </row>
    <row r="61" spans="1:63" ht="15.5" x14ac:dyDescent="0.35">
      <c r="A61" t="s">
        <v>120</v>
      </c>
      <c r="B61" s="14" t="s">
        <v>120</v>
      </c>
      <c r="C61" s="22" t="s">
        <v>121</v>
      </c>
      <c r="D61" s="41" t="s">
        <v>72</v>
      </c>
      <c r="E61" s="15" t="s">
        <v>291</v>
      </c>
      <c r="F61" s="15" t="s">
        <v>291</v>
      </c>
      <c r="G61" s="15" t="s">
        <v>291</v>
      </c>
      <c r="H61" s="15" t="s">
        <v>292</v>
      </c>
      <c r="I61" s="15" t="s">
        <v>291</v>
      </c>
      <c r="J61" s="15" t="s">
        <v>291</v>
      </c>
      <c r="K61" s="15" t="s">
        <v>291</v>
      </c>
      <c r="L61" s="15" t="s">
        <v>291</v>
      </c>
      <c r="M61" s="15" t="s">
        <v>291</v>
      </c>
      <c r="N61" s="15" t="s">
        <v>291</v>
      </c>
      <c r="O61" s="23" t="s">
        <v>291</v>
      </c>
      <c r="P61" s="24" t="s">
        <v>291</v>
      </c>
      <c r="Q61" s="24" t="s">
        <v>291</v>
      </c>
      <c r="R61" s="24" t="s">
        <v>291</v>
      </c>
      <c r="S61" s="24" t="s">
        <v>291</v>
      </c>
      <c r="T61" s="24" t="s">
        <v>291</v>
      </c>
      <c r="U61" s="25" t="s">
        <v>291</v>
      </c>
      <c r="V61" s="25" t="s">
        <v>291</v>
      </c>
      <c r="W61" s="46" t="s">
        <v>285</v>
      </c>
      <c r="X61" s="26" t="s">
        <v>291</v>
      </c>
      <c r="Y61" s="26" t="s">
        <v>291</v>
      </c>
      <c r="Z61" s="26" t="s">
        <v>291</v>
      </c>
      <c r="AA61" s="26" t="s">
        <v>291</v>
      </c>
      <c r="AB61" s="26" t="s">
        <v>291</v>
      </c>
      <c r="AC61" s="26" t="s">
        <v>291</v>
      </c>
      <c r="AD61" s="26" t="s">
        <v>291</v>
      </c>
      <c r="AE61" s="26" t="s">
        <v>291</v>
      </c>
      <c r="AF61" s="29" t="s">
        <v>285</v>
      </c>
      <c r="AG61" s="26" t="s">
        <v>291</v>
      </c>
      <c r="AH61" s="26" t="s">
        <v>291</v>
      </c>
      <c r="AI61" s="26" t="s">
        <v>291</v>
      </c>
      <c r="AJ61" s="26" t="s">
        <v>291</v>
      </c>
      <c r="AK61" s="27" t="s">
        <v>291</v>
      </c>
      <c r="AL61" s="26" t="s">
        <v>291</v>
      </c>
      <c r="AM61" s="26" t="s">
        <v>291</v>
      </c>
      <c r="AN61" s="26" t="s">
        <v>291</v>
      </c>
      <c r="AO61" s="26" t="s">
        <v>291</v>
      </c>
      <c r="AP61" s="26" t="s">
        <v>291</v>
      </c>
      <c r="AQ61" s="27" t="s">
        <v>291</v>
      </c>
      <c r="AR61" s="27" t="s">
        <v>291</v>
      </c>
      <c r="AS61" s="27" t="s">
        <v>291</v>
      </c>
      <c r="AT61" s="27" t="s">
        <v>291</v>
      </c>
      <c r="AU61" s="27" t="s">
        <v>291</v>
      </c>
      <c r="AV61" s="27" t="s">
        <v>291</v>
      </c>
      <c r="AW61" s="27" t="s">
        <v>291</v>
      </c>
      <c r="AX61" s="27" t="s">
        <v>292</v>
      </c>
      <c r="AY61" s="26" t="s">
        <v>291</v>
      </c>
      <c r="AZ61" s="29" t="s">
        <v>285</v>
      </c>
      <c r="BA61" s="26" t="s">
        <v>291</v>
      </c>
      <c r="BB61" s="26" t="s">
        <v>291</v>
      </c>
      <c r="BC61" s="26" t="s">
        <v>291</v>
      </c>
      <c r="BD61">
        <f t="shared" si="3"/>
        <v>3</v>
      </c>
      <c r="BE61" s="20">
        <f t="shared" si="4"/>
        <v>2</v>
      </c>
      <c r="BG61" s="2" t="s">
        <v>394</v>
      </c>
      <c r="BH61" s="1" t="s">
        <v>500</v>
      </c>
      <c r="BI61" s="130"/>
      <c r="BJ61" s="130"/>
      <c r="BK61">
        <f t="shared" si="2"/>
        <v>20</v>
      </c>
    </row>
    <row r="62" spans="1:63" ht="15.5" x14ac:dyDescent="0.35">
      <c r="A62" t="s">
        <v>122</v>
      </c>
      <c r="B62" s="14" t="s">
        <v>122</v>
      </c>
      <c r="C62" s="22" t="s">
        <v>123</v>
      </c>
      <c r="D62" s="41" t="s">
        <v>72</v>
      </c>
      <c r="E62" s="15" t="s">
        <v>291</v>
      </c>
      <c r="F62" s="15" t="s">
        <v>291</v>
      </c>
      <c r="G62" s="15" t="s">
        <v>291</v>
      </c>
      <c r="H62" s="15" t="s">
        <v>291</v>
      </c>
      <c r="I62" s="15" t="s">
        <v>291</v>
      </c>
      <c r="J62" s="15" t="s">
        <v>291</v>
      </c>
      <c r="K62" s="15" t="s">
        <v>291</v>
      </c>
      <c r="L62" s="15" t="s">
        <v>291</v>
      </c>
      <c r="M62" s="15" t="s">
        <v>291</v>
      </c>
      <c r="N62" s="15" t="s">
        <v>291</v>
      </c>
      <c r="O62" s="23" t="s">
        <v>291</v>
      </c>
      <c r="P62" s="24" t="s">
        <v>291</v>
      </c>
      <c r="Q62" s="24" t="s">
        <v>291</v>
      </c>
      <c r="R62" s="24" t="s">
        <v>291</v>
      </c>
      <c r="S62" s="24" t="s">
        <v>291</v>
      </c>
      <c r="T62" s="24" t="s">
        <v>291</v>
      </c>
      <c r="U62" s="25" t="s">
        <v>291</v>
      </c>
      <c r="V62" s="25" t="s">
        <v>291</v>
      </c>
      <c r="W62" s="42" t="s">
        <v>291</v>
      </c>
      <c r="X62" s="26" t="s">
        <v>291</v>
      </c>
      <c r="Y62" s="26" t="s">
        <v>291</v>
      </c>
      <c r="Z62" s="26" t="s">
        <v>292</v>
      </c>
      <c r="AA62" s="26" t="s">
        <v>291</v>
      </c>
      <c r="AB62" s="26" t="s">
        <v>291</v>
      </c>
      <c r="AC62" s="26" t="s">
        <v>291</v>
      </c>
      <c r="AD62" s="26" t="s">
        <v>291</v>
      </c>
      <c r="AE62" s="26" t="s">
        <v>291</v>
      </c>
      <c r="AF62" s="26" t="s">
        <v>291</v>
      </c>
      <c r="AG62" s="26" t="s">
        <v>291</v>
      </c>
      <c r="AH62" s="26" t="s">
        <v>291</v>
      </c>
      <c r="AI62" s="26" t="s">
        <v>291</v>
      </c>
      <c r="AJ62" s="26" t="s">
        <v>291</v>
      </c>
      <c r="AK62" s="27" t="s">
        <v>291</v>
      </c>
      <c r="AL62" s="26" t="s">
        <v>291</v>
      </c>
      <c r="AM62" s="26" t="s">
        <v>291</v>
      </c>
      <c r="AN62" s="26" t="s">
        <v>291</v>
      </c>
      <c r="AO62" s="26" t="s">
        <v>291</v>
      </c>
      <c r="AP62" s="26" t="s">
        <v>291</v>
      </c>
      <c r="AQ62" s="27" t="s">
        <v>291</v>
      </c>
      <c r="AR62" s="27" t="s">
        <v>291</v>
      </c>
      <c r="AS62" s="27" t="s">
        <v>291</v>
      </c>
      <c r="AT62" s="27" t="s">
        <v>291</v>
      </c>
      <c r="AU62" s="27" t="s">
        <v>291</v>
      </c>
      <c r="AV62" s="27" t="s">
        <v>291</v>
      </c>
      <c r="AW62" s="27" t="s">
        <v>291</v>
      </c>
      <c r="AX62" s="27" t="s">
        <v>291</v>
      </c>
      <c r="AY62" s="26" t="s">
        <v>291</v>
      </c>
      <c r="AZ62" s="26" t="s">
        <v>291</v>
      </c>
      <c r="BA62" s="26" t="s">
        <v>291</v>
      </c>
      <c r="BB62" s="26" t="s">
        <v>291</v>
      </c>
      <c r="BC62" s="26" t="s">
        <v>291</v>
      </c>
      <c r="BD62">
        <f t="shared" si="3"/>
        <v>0</v>
      </c>
      <c r="BE62" s="20">
        <f t="shared" si="4"/>
        <v>1</v>
      </c>
      <c r="BG62" s="122" t="s">
        <v>395</v>
      </c>
      <c r="BH62" s="151" t="s">
        <v>501</v>
      </c>
      <c r="BI62" s="130"/>
      <c r="BJ62" s="130"/>
      <c r="BK62">
        <f t="shared" si="2"/>
        <v>20</v>
      </c>
    </row>
    <row r="63" spans="1:63" ht="15.5" x14ac:dyDescent="0.35">
      <c r="A63" t="s">
        <v>124</v>
      </c>
      <c r="B63" s="14" t="s">
        <v>124</v>
      </c>
      <c r="C63" s="22" t="s">
        <v>125</v>
      </c>
      <c r="D63" s="41" t="s">
        <v>72</v>
      </c>
      <c r="E63" s="15" t="s">
        <v>291</v>
      </c>
      <c r="F63" s="15" t="s">
        <v>291</v>
      </c>
      <c r="G63" s="15" t="s">
        <v>291</v>
      </c>
      <c r="H63" s="15" t="s">
        <v>291</v>
      </c>
      <c r="I63" s="15" t="s">
        <v>291</v>
      </c>
      <c r="J63" s="15" t="s">
        <v>291</v>
      </c>
      <c r="K63" s="15" t="s">
        <v>291</v>
      </c>
      <c r="L63" s="15" t="s">
        <v>291</v>
      </c>
      <c r="M63" s="15" t="s">
        <v>291</v>
      </c>
      <c r="N63" s="15" t="s">
        <v>291</v>
      </c>
      <c r="O63" s="23" t="s">
        <v>291</v>
      </c>
      <c r="P63" s="24" t="s">
        <v>291</v>
      </c>
      <c r="Q63" s="24" t="s">
        <v>291</v>
      </c>
      <c r="R63" s="24" t="s">
        <v>291</v>
      </c>
      <c r="S63" s="24" t="s">
        <v>291</v>
      </c>
      <c r="T63" s="24" t="s">
        <v>291</v>
      </c>
      <c r="U63" s="25" t="s">
        <v>291</v>
      </c>
      <c r="V63" s="25" t="s">
        <v>291</v>
      </c>
      <c r="W63" s="42" t="s">
        <v>291</v>
      </c>
      <c r="X63" s="26" t="s">
        <v>291</v>
      </c>
      <c r="Y63" s="26" t="s">
        <v>291</v>
      </c>
      <c r="Z63" s="26" t="s">
        <v>291</v>
      </c>
      <c r="AA63" s="26" t="s">
        <v>291</v>
      </c>
      <c r="AB63" s="26" t="s">
        <v>291</v>
      </c>
      <c r="AC63" s="26" t="s">
        <v>291</v>
      </c>
      <c r="AD63" s="26" t="s">
        <v>291</v>
      </c>
      <c r="AE63" s="26" t="s">
        <v>291</v>
      </c>
      <c r="AF63" s="26" t="s">
        <v>291</v>
      </c>
      <c r="AG63" s="26" t="s">
        <v>291</v>
      </c>
      <c r="AH63" s="26" t="s">
        <v>291</v>
      </c>
      <c r="AI63" s="26" t="s">
        <v>291</v>
      </c>
      <c r="AJ63" s="26" t="s">
        <v>291</v>
      </c>
      <c r="AK63" s="27" t="s">
        <v>291</v>
      </c>
      <c r="AL63" s="26" t="s">
        <v>291</v>
      </c>
      <c r="AM63" s="26" t="s">
        <v>291</v>
      </c>
      <c r="AN63" s="26" t="s">
        <v>291</v>
      </c>
      <c r="AO63" s="26" t="s">
        <v>291</v>
      </c>
      <c r="AP63" s="26" t="s">
        <v>291</v>
      </c>
      <c r="AQ63" s="27" t="s">
        <v>291</v>
      </c>
      <c r="AR63" s="27" t="s">
        <v>291</v>
      </c>
      <c r="AS63" s="27" t="s">
        <v>291</v>
      </c>
      <c r="AT63" s="27" t="s">
        <v>291</v>
      </c>
      <c r="AU63" s="27" t="s">
        <v>291</v>
      </c>
      <c r="AV63" s="27" t="s">
        <v>291</v>
      </c>
      <c r="AW63" s="27" t="s">
        <v>291</v>
      </c>
      <c r="AX63" s="27" t="s">
        <v>291</v>
      </c>
      <c r="AY63" s="26" t="s">
        <v>291</v>
      </c>
      <c r="AZ63" s="26" t="s">
        <v>291</v>
      </c>
      <c r="BA63" s="26" t="s">
        <v>291</v>
      </c>
      <c r="BB63" s="26" t="s">
        <v>291</v>
      </c>
      <c r="BC63" s="26" t="s">
        <v>291</v>
      </c>
      <c r="BD63">
        <f t="shared" si="3"/>
        <v>0</v>
      </c>
      <c r="BE63" s="20">
        <f t="shared" si="4"/>
        <v>0</v>
      </c>
      <c r="BG63" s="122" t="s">
        <v>396</v>
      </c>
      <c r="BH63" s="151" t="s">
        <v>125</v>
      </c>
      <c r="BI63" s="133">
        <v>10</v>
      </c>
      <c r="BJ63" s="133">
        <v>10</v>
      </c>
      <c r="BK63" t="str">
        <f t="shared" si="2"/>
        <v/>
      </c>
    </row>
    <row r="64" spans="1:63" x14ac:dyDescent="0.35">
      <c r="A64" t="s">
        <v>126</v>
      </c>
    </row>
    <row r="65" spans="1:1" x14ac:dyDescent="0.35">
      <c r="A65" t="s">
        <v>98</v>
      </c>
    </row>
    <row r="66" spans="1:1" x14ac:dyDescent="0.35">
      <c r="A66" t="s">
        <v>129</v>
      </c>
    </row>
    <row r="67" spans="1:1" x14ac:dyDescent="0.35">
      <c r="A67" t="s">
        <v>131</v>
      </c>
    </row>
    <row r="68" spans="1:1" x14ac:dyDescent="0.35">
      <c r="A68" t="s">
        <v>133</v>
      </c>
    </row>
    <row r="69" spans="1:1" x14ac:dyDescent="0.35">
      <c r="A69" t="s">
        <v>135</v>
      </c>
    </row>
    <row r="70" spans="1:1" x14ac:dyDescent="0.35">
      <c r="A70" t="s">
        <v>14</v>
      </c>
    </row>
    <row r="71" spans="1:1" x14ac:dyDescent="0.35">
      <c r="A71" t="s">
        <v>11</v>
      </c>
    </row>
    <row r="72" spans="1:1" x14ac:dyDescent="0.35">
      <c r="A72" t="s">
        <v>137</v>
      </c>
    </row>
    <row r="73" spans="1:1" x14ac:dyDescent="0.35">
      <c r="A73" t="s">
        <v>138</v>
      </c>
    </row>
    <row r="74" spans="1:1" x14ac:dyDescent="0.35">
      <c r="A74" t="s">
        <v>139</v>
      </c>
    </row>
    <row r="75" spans="1:1" x14ac:dyDescent="0.35">
      <c r="A75" t="s">
        <v>141</v>
      </c>
    </row>
    <row r="76" spans="1:1" x14ac:dyDescent="0.35">
      <c r="A76" t="s">
        <v>142</v>
      </c>
    </row>
    <row r="77" spans="1:1" x14ac:dyDescent="0.35">
      <c r="A77" t="s">
        <v>144</v>
      </c>
    </row>
    <row r="78" spans="1:1" x14ac:dyDescent="0.35">
      <c r="A78" t="s">
        <v>145</v>
      </c>
    </row>
    <row r="79" spans="1:1" x14ac:dyDescent="0.35">
      <c r="A79" t="s">
        <v>147</v>
      </c>
    </row>
    <row r="80" spans="1:1" x14ac:dyDescent="0.35">
      <c r="A80" t="s">
        <v>149</v>
      </c>
    </row>
    <row r="81" spans="1:1" x14ac:dyDescent="0.35">
      <c r="A81" t="s">
        <v>151</v>
      </c>
    </row>
    <row r="82" spans="1:1" x14ac:dyDescent="0.35">
      <c r="A82" t="s">
        <v>56</v>
      </c>
    </row>
    <row r="83" spans="1:1" x14ac:dyDescent="0.35">
      <c r="A83" t="s">
        <v>135</v>
      </c>
    </row>
    <row r="84" spans="1:1" x14ac:dyDescent="0.35">
      <c r="A84" t="s">
        <v>153</v>
      </c>
    </row>
    <row r="85" spans="1:1" x14ac:dyDescent="0.35">
      <c r="A85" t="s">
        <v>155</v>
      </c>
    </row>
    <row r="86" spans="1:1" x14ac:dyDescent="0.35">
      <c r="A86" t="s">
        <v>156</v>
      </c>
    </row>
    <row r="87" spans="1:1" x14ac:dyDescent="0.35">
      <c r="A87" t="s">
        <v>158</v>
      </c>
    </row>
    <row r="88" spans="1:1" x14ac:dyDescent="0.35">
      <c r="A88" t="s">
        <v>160</v>
      </c>
    </row>
    <row r="89" spans="1:1" x14ac:dyDescent="0.35">
      <c r="A89" t="s">
        <v>162</v>
      </c>
    </row>
    <row r="90" spans="1:1" x14ac:dyDescent="0.35">
      <c r="A90" t="s">
        <v>164</v>
      </c>
    </row>
    <row r="91" spans="1:1" x14ac:dyDescent="0.35">
      <c r="A91" t="s">
        <v>166</v>
      </c>
    </row>
    <row r="92" spans="1:1" x14ac:dyDescent="0.35">
      <c r="A92" t="s">
        <v>54</v>
      </c>
    </row>
    <row r="93" spans="1:1" x14ac:dyDescent="0.35">
      <c r="A93" t="s">
        <v>169</v>
      </c>
    </row>
    <row r="94" spans="1:1" x14ac:dyDescent="0.35">
      <c r="A94" t="s">
        <v>171</v>
      </c>
    </row>
    <row r="95" spans="1:1" x14ac:dyDescent="0.35">
      <c r="A95" t="s">
        <v>173</v>
      </c>
    </row>
    <row r="96" spans="1:1" x14ac:dyDescent="0.35">
      <c r="A96" t="s">
        <v>175</v>
      </c>
    </row>
    <row r="97" spans="1:1" x14ac:dyDescent="0.35">
      <c r="A97" t="s">
        <v>177</v>
      </c>
    </row>
    <row r="98" spans="1:1" x14ac:dyDescent="0.35">
      <c r="A98" t="s">
        <v>179</v>
      </c>
    </row>
    <row r="99" spans="1:1" x14ac:dyDescent="0.35">
      <c r="A99" t="s">
        <v>181</v>
      </c>
    </row>
    <row r="100" spans="1:1" x14ac:dyDescent="0.35">
      <c r="A100" t="s">
        <v>182</v>
      </c>
    </row>
    <row r="101" spans="1:1" x14ac:dyDescent="0.35">
      <c r="A101" t="s">
        <v>184</v>
      </c>
    </row>
    <row r="102" spans="1:1" x14ac:dyDescent="0.35">
      <c r="A102" t="s">
        <v>185</v>
      </c>
    </row>
    <row r="103" spans="1:1" x14ac:dyDescent="0.35">
      <c r="A103" t="s">
        <v>186</v>
      </c>
    </row>
    <row r="104" spans="1:1" x14ac:dyDescent="0.35">
      <c r="A104" t="s">
        <v>188</v>
      </c>
    </row>
    <row r="105" spans="1:1" x14ac:dyDescent="0.35">
      <c r="A105" t="s">
        <v>190</v>
      </c>
    </row>
    <row r="106" spans="1:1" x14ac:dyDescent="0.35">
      <c r="A106" t="s">
        <v>192</v>
      </c>
    </row>
    <row r="107" spans="1:1" x14ac:dyDescent="0.35">
      <c r="A107" t="s">
        <v>194</v>
      </c>
    </row>
    <row r="108" spans="1:1" x14ac:dyDescent="0.35">
      <c r="A108" t="s">
        <v>196</v>
      </c>
    </row>
    <row r="109" spans="1:1" x14ac:dyDescent="0.35">
      <c r="A109" t="s">
        <v>197</v>
      </c>
    </row>
    <row r="110" spans="1:1" x14ac:dyDescent="0.35">
      <c r="A110" t="s">
        <v>199</v>
      </c>
    </row>
    <row r="111" spans="1:1" x14ac:dyDescent="0.35">
      <c r="A111" t="s">
        <v>200</v>
      </c>
    </row>
    <row r="112" spans="1:1" x14ac:dyDescent="0.35">
      <c r="A112" t="s">
        <v>202</v>
      </c>
    </row>
    <row r="113" spans="1:1" x14ac:dyDescent="0.35">
      <c r="A113" t="s">
        <v>204</v>
      </c>
    </row>
    <row r="114" spans="1:1" x14ac:dyDescent="0.35">
      <c r="A114" t="s">
        <v>14</v>
      </c>
    </row>
    <row r="115" spans="1:1" x14ac:dyDescent="0.35">
      <c r="A115" t="s">
        <v>205</v>
      </c>
    </row>
    <row r="116" spans="1:1" x14ac:dyDescent="0.35">
      <c r="A116" t="s">
        <v>206</v>
      </c>
    </row>
    <row r="117" spans="1:1" x14ac:dyDescent="0.35">
      <c r="A117" t="s">
        <v>207</v>
      </c>
    </row>
    <row r="118" spans="1:1" x14ac:dyDescent="0.35">
      <c r="A118" t="s">
        <v>208</v>
      </c>
    </row>
    <row r="119" spans="1:1" x14ac:dyDescent="0.35">
      <c r="A119" t="s">
        <v>210</v>
      </c>
    </row>
    <row r="120" spans="1:1" x14ac:dyDescent="0.35">
      <c r="A120" t="s">
        <v>211</v>
      </c>
    </row>
    <row r="121" spans="1:1" x14ac:dyDescent="0.35">
      <c r="A121" t="s">
        <v>212</v>
      </c>
    </row>
    <row r="122" spans="1:1" x14ac:dyDescent="0.35">
      <c r="A122" t="s">
        <v>214</v>
      </c>
    </row>
    <row r="123" spans="1:1" x14ac:dyDescent="0.35">
      <c r="A123" t="s">
        <v>216</v>
      </c>
    </row>
    <row r="124" spans="1:1" x14ac:dyDescent="0.35">
      <c r="A124" t="s">
        <v>217</v>
      </c>
    </row>
    <row r="125" spans="1:1" x14ac:dyDescent="0.35">
      <c r="A125" t="s">
        <v>218</v>
      </c>
    </row>
    <row r="126" spans="1:1" x14ac:dyDescent="0.35">
      <c r="A126" t="s">
        <v>220</v>
      </c>
    </row>
    <row r="127" spans="1:1" x14ac:dyDescent="0.35">
      <c r="A127" t="s">
        <v>222</v>
      </c>
    </row>
    <row r="128" spans="1:1" x14ac:dyDescent="0.35">
      <c r="A128" t="s">
        <v>185</v>
      </c>
    </row>
    <row r="129" spans="1:1" x14ac:dyDescent="0.35">
      <c r="A129" t="s">
        <v>16</v>
      </c>
    </row>
    <row r="130" spans="1:1" x14ac:dyDescent="0.35">
      <c r="A130" t="s">
        <v>20</v>
      </c>
    </row>
    <row r="131" spans="1:1" x14ac:dyDescent="0.35">
      <c r="A131" t="s">
        <v>226</v>
      </c>
    </row>
    <row r="132" spans="1:1" x14ac:dyDescent="0.35">
      <c r="A132" t="s">
        <v>228</v>
      </c>
    </row>
    <row r="133" spans="1:1" x14ac:dyDescent="0.35">
      <c r="A133" t="s">
        <v>230</v>
      </c>
    </row>
    <row r="134" spans="1:1" x14ac:dyDescent="0.35">
      <c r="A134" t="s">
        <v>151</v>
      </c>
    </row>
    <row r="135" spans="1:1" x14ac:dyDescent="0.35">
      <c r="A135" t="s">
        <v>233</v>
      </c>
    </row>
    <row r="136" spans="1:1" x14ac:dyDescent="0.35">
      <c r="A136" t="s">
        <v>234</v>
      </c>
    </row>
    <row r="137" spans="1:1" x14ac:dyDescent="0.35">
      <c r="A137" t="s">
        <v>185</v>
      </c>
    </row>
    <row r="138" spans="1:1" x14ac:dyDescent="0.35">
      <c r="A138" t="s">
        <v>236</v>
      </c>
    </row>
    <row r="139" spans="1:1" x14ac:dyDescent="0.35">
      <c r="A139" t="s">
        <v>237</v>
      </c>
    </row>
    <row r="140" spans="1:1" x14ac:dyDescent="0.35">
      <c r="A140" t="s">
        <v>239</v>
      </c>
    </row>
    <row r="141" spans="1:1" x14ac:dyDescent="0.35">
      <c r="A141" t="s">
        <v>63</v>
      </c>
    </row>
    <row r="142" spans="1:1" x14ac:dyDescent="0.35">
      <c r="A142" t="s">
        <v>242</v>
      </c>
    </row>
    <row r="143" spans="1:1" x14ac:dyDescent="0.35">
      <c r="A143" t="s">
        <v>197</v>
      </c>
    </row>
    <row r="144" spans="1:1" x14ac:dyDescent="0.35">
      <c r="A144" t="s">
        <v>32</v>
      </c>
    </row>
    <row r="145" spans="1:1" x14ac:dyDescent="0.35">
      <c r="A145" t="s">
        <v>245</v>
      </c>
    </row>
    <row r="146" spans="1:1" x14ac:dyDescent="0.35">
      <c r="A146" t="s">
        <v>246</v>
      </c>
    </row>
    <row r="147" spans="1:1" x14ac:dyDescent="0.35">
      <c r="A147" t="s">
        <v>247</v>
      </c>
    </row>
    <row r="148" spans="1:1" x14ac:dyDescent="0.35">
      <c r="A148" t="s">
        <v>184</v>
      </c>
    </row>
    <row r="149" spans="1:1" x14ac:dyDescent="0.35">
      <c r="A149" t="s">
        <v>248</v>
      </c>
    </row>
    <row r="150" spans="1:1" x14ac:dyDescent="0.35">
      <c r="A150" t="s">
        <v>54</v>
      </c>
    </row>
    <row r="151" spans="1:1" x14ac:dyDescent="0.35">
      <c r="A151" t="s">
        <v>249</v>
      </c>
    </row>
    <row r="152" spans="1:1" x14ac:dyDescent="0.35">
      <c r="A152" t="s">
        <v>251</v>
      </c>
    </row>
    <row r="153" spans="1:1" x14ac:dyDescent="0.35">
      <c r="A153" t="s">
        <v>182</v>
      </c>
    </row>
    <row r="154" spans="1:1" x14ac:dyDescent="0.35">
      <c r="A154" t="s">
        <v>56</v>
      </c>
    </row>
    <row r="155" spans="1:1" x14ac:dyDescent="0.35">
      <c r="A155" t="s">
        <v>255</v>
      </c>
    </row>
    <row r="156" spans="1:1" x14ac:dyDescent="0.35">
      <c r="A156" t="s">
        <v>257</v>
      </c>
    </row>
    <row r="157" spans="1:1" x14ac:dyDescent="0.35">
      <c r="A157" t="s">
        <v>67</v>
      </c>
    </row>
    <row r="158" spans="1:1" x14ac:dyDescent="0.35">
      <c r="A158" t="s">
        <v>218</v>
      </c>
    </row>
    <row r="159" spans="1:1" x14ac:dyDescent="0.35">
      <c r="A159" t="s">
        <v>259</v>
      </c>
    </row>
    <row r="160" spans="1:1" x14ac:dyDescent="0.35">
      <c r="A160" t="s">
        <v>260</v>
      </c>
    </row>
    <row r="161" spans="1:1" x14ac:dyDescent="0.35">
      <c r="A161" t="s">
        <v>262</v>
      </c>
    </row>
    <row r="162" spans="1:1" x14ac:dyDescent="0.35">
      <c r="A162" t="s">
        <v>98</v>
      </c>
    </row>
    <row r="163" spans="1:1" x14ac:dyDescent="0.35">
      <c r="A163" t="s">
        <v>264</v>
      </c>
    </row>
    <row r="164" spans="1:1" x14ac:dyDescent="0.35">
      <c r="A164" t="s">
        <v>266</v>
      </c>
    </row>
    <row r="165" spans="1:1" x14ac:dyDescent="0.35">
      <c r="A165" t="s">
        <v>267</v>
      </c>
    </row>
    <row r="166" spans="1:1" x14ac:dyDescent="0.35">
      <c r="A166" t="s">
        <v>268</v>
      </c>
    </row>
    <row r="167" spans="1:1" x14ac:dyDescent="0.35">
      <c r="A167" t="s">
        <v>270</v>
      </c>
    </row>
    <row r="168" spans="1:1" x14ac:dyDescent="0.35">
      <c r="A168" t="s">
        <v>271</v>
      </c>
    </row>
    <row r="169" spans="1:1" x14ac:dyDescent="0.35">
      <c r="A169" t="s">
        <v>273</v>
      </c>
    </row>
    <row r="170" spans="1:1" x14ac:dyDescent="0.35">
      <c r="A170" t="s">
        <v>200</v>
      </c>
    </row>
    <row r="171" spans="1:1" x14ac:dyDescent="0.35">
      <c r="A171" t="s">
        <v>276</v>
      </c>
    </row>
    <row r="172" spans="1:1" x14ac:dyDescent="0.35">
      <c r="A172" t="s">
        <v>277</v>
      </c>
    </row>
    <row r="173" spans="1:1" x14ac:dyDescent="0.35">
      <c r="A173" t="s">
        <v>270</v>
      </c>
    </row>
    <row r="174" spans="1:1" x14ac:dyDescent="0.35">
      <c r="A174" t="s">
        <v>279</v>
      </c>
    </row>
    <row r="175" spans="1:1" x14ac:dyDescent="0.35">
      <c r="A175" t="s">
        <v>98</v>
      </c>
    </row>
    <row r="176" spans="1:1" x14ac:dyDescent="0.35">
      <c r="A176" t="s">
        <v>282</v>
      </c>
    </row>
    <row r="177" spans="1:1" x14ac:dyDescent="0.35">
      <c r="A177" t="s">
        <v>284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8017-F9AA-46D1-BBF3-8AF593DABE4F}">
  <dimension ref="A1:BK116"/>
  <sheetViews>
    <sheetView workbookViewId="0">
      <selection activeCell="A3" sqref="A3:A62"/>
    </sheetView>
  </sheetViews>
  <sheetFormatPr defaultRowHeight="14.5" x14ac:dyDescent="0.35"/>
  <cols>
    <col min="4" max="54" width="0" hidden="1" customWidth="1"/>
    <col min="55" max="55" width="8.90625" hidden="1" customWidth="1"/>
    <col min="56" max="56" width="0" hidden="1" customWidth="1"/>
  </cols>
  <sheetData>
    <row r="1" spans="1:63" ht="15" thickBot="1" x14ac:dyDescent="0.4">
      <c r="A1" s="3"/>
      <c r="B1" s="51" t="s">
        <v>286</v>
      </c>
      <c r="C1" s="51"/>
      <c r="D1" s="156" t="s">
        <v>287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8"/>
      <c r="Y1" s="159" t="s">
        <v>288</v>
      </c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1"/>
      <c r="AS1" s="159" t="s">
        <v>289</v>
      </c>
      <c r="AT1" s="160"/>
      <c r="AU1" s="160"/>
      <c r="AV1" s="160"/>
      <c r="AW1" s="160"/>
      <c r="AX1" s="160"/>
      <c r="AY1" s="160"/>
      <c r="AZ1" s="160"/>
      <c r="BA1" s="160"/>
      <c r="BB1" s="160"/>
      <c r="BC1" s="162" t="s">
        <v>290</v>
      </c>
      <c r="BD1" s="163"/>
    </row>
    <row r="2" spans="1:63" ht="15" thickBot="1" x14ac:dyDescent="0.4">
      <c r="A2" s="3"/>
      <c r="B2" s="52"/>
      <c r="C2" s="52"/>
      <c r="D2" s="7">
        <v>46083</v>
      </c>
      <c r="E2" s="7">
        <v>46084</v>
      </c>
      <c r="F2" s="7">
        <v>46085</v>
      </c>
      <c r="G2" s="7">
        <v>46086</v>
      </c>
      <c r="H2" s="7">
        <v>46087</v>
      </c>
      <c r="I2" s="8">
        <v>46090</v>
      </c>
      <c r="J2" s="8">
        <v>46091</v>
      </c>
      <c r="K2" s="8">
        <v>46092</v>
      </c>
      <c r="L2" s="8">
        <v>46093</v>
      </c>
      <c r="M2" s="8">
        <v>46094</v>
      </c>
      <c r="N2" s="9">
        <v>46097</v>
      </c>
      <c r="O2" s="9">
        <v>46098</v>
      </c>
      <c r="P2" s="9">
        <v>46099</v>
      </c>
      <c r="Q2" s="9">
        <v>46100</v>
      </c>
      <c r="R2" s="9">
        <v>46101</v>
      </c>
      <c r="S2" s="9">
        <v>46104</v>
      </c>
      <c r="T2" s="9">
        <v>46105</v>
      </c>
      <c r="U2" s="9">
        <v>46106</v>
      </c>
      <c r="V2" s="9">
        <v>46107</v>
      </c>
      <c r="W2" s="9">
        <v>46111</v>
      </c>
      <c r="X2" s="9">
        <v>46112</v>
      </c>
      <c r="Y2" s="10">
        <v>46113</v>
      </c>
      <c r="Z2" s="10">
        <v>46118</v>
      </c>
      <c r="AA2" s="10">
        <v>46119</v>
      </c>
      <c r="AB2" s="10">
        <v>46120</v>
      </c>
      <c r="AC2" s="10">
        <v>46121</v>
      </c>
      <c r="AD2" s="10">
        <v>46122</v>
      </c>
      <c r="AE2" s="10">
        <v>46125</v>
      </c>
      <c r="AF2" s="10">
        <v>46126</v>
      </c>
      <c r="AG2" s="10">
        <v>46127</v>
      </c>
      <c r="AH2" s="10">
        <v>46128</v>
      </c>
      <c r="AI2" s="10">
        <v>46129</v>
      </c>
      <c r="AJ2" s="10">
        <v>46132</v>
      </c>
      <c r="AK2" s="10">
        <v>46133</v>
      </c>
      <c r="AL2" s="10">
        <v>46134</v>
      </c>
      <c r="AM2" s="10">
        <v>46135</v>
      </c>
      <c r="AN2" s="10">
        <v>46136</v>
      </c>
      <c r="AO2" s="10">
        <v>46139</v>
      </c>
      <c r="AP2" s="10">
        <v>46140</v>
      </c>
      <c r="AQ2" s="10">
        <v>46141</v>
      </c>
      <c r="AR2" s="10">
        <v>46142</v>
      </c>
      <c r="AS2" s="10">
        <v>46146</v>
      </c>
      <c r="AT2" s="10">
        <v>46147</v>
      </c>
      <c r="AU2" s="10">
        <v>46148</v>
      </c>
      <c r="AV2" s="10">
        <v>46149</v>
      </c>
      <c r="AW2" s="10">
        <v>46150</v>
      </c>
      <c r="AX2" s="10">
        <v>46153</v>
      </c>
      <c r="AY2" s="10">
        <v>46154</v>
      </c>
      <c r="AZ2" s="10">
        <v>46155</v>
      </c>
      <c r="BA2" s="10">
        <v>46156</v>
      </c>
      <c r="BB2" s="10">
        <v>46157</v>
      </c>
      <c r="BC2" s="53" t="s">
        <v>8</v>
      </c>
      <c r="BD2" s="53" t="s">
        <v>9</v>
      </c>
    </row>
    <row r="3" spans="1:63" ht="15.5" x14ac:dyDescent="0.35">
      <c r="A3" t="s">
        <v>347</v>
      </c>
      <c r="B3" s="14" t="s">
        <v>347</v>
      </c>
      <c r="C3" s="54" t="s">
        <v>127</v>
      </c>
      <c r="D3" s="55" t="s">
        <v>291</v>
      </c>
      <c r="E3" s="55" t="s">
        <v>291</v>
      </c>
      <c r="F3" s="55" t="s">
        <v>291</v>
      </c>
      <c r="G3" s="55" t="s">
        <v>291</v>
      </c>
      <c r="H3" s="55" t="s">
        <v>291</v>
      </c>
      <c r="I3" s="56" t="s">
        <v>285</v>
      </c>
      <c r="J3" s="56" t="s">
        <v>285</v>
      </c>
      <c r="K3" s="55" t="s">
        <v>291</v>
      </c>
      <c r="L3" s="55" t="s">
        <v>291</v>
      </c>
      <c r="M3" s="57" t="s">
        <v>291</v>
      </c>
      <c r="N3" s="55" t="s">
        <v>291</v>
      </c>
      <c r="O3" s="15" t="s">
        <v>291</v>
      </c>
      <c r="P3" s="58" t="s">
        <v>292</v>
      </c>
      <c r="Q3" s="24" t="s">
        <v>291</v>
      </c>
      <c r="R3" s="24" t="s">
        <v>291</v>
      </c>
      <c r="S3" s="24" t="s">
        <v>292</v>
      </c>
      <c r="T3" s="24" t="s">
        <v>291</v>
      </c>
      <c r="U3" s="25" t="s">
        <v>291</v>
      </c>
      <c r="V3" s="25" t="s">
        <v>291</v>
      </c>
      <c r="W3" s="42" t="s">
        <v>291</v>
      </c>
      <c r="X3" s="26" t="s">
        <v>291</v>
      </c>
      <c r="Y3" s="26" t="s">
        <v>292</v>
      </c>
      <c r="Z3" s="26" t="s">
        <v>291</v>
      </c>
      <c r="AA3" s="26" t="s">
        <v>291</v>
      </c>
      <c r="AB3" s="29" t="s">
        <v>285</v>
      </c>
      <c r="AC3" s="26" t="s">
        <v>291</v>
      </c>
      <c r="AD3" s="26" t="s">
        <v>291</v>
      </c>
      <c r="AE3" s="26" t="s">
        <v>291</v>
      </c>
      <c r="AF3" s="26" t="s">
        <v>292</v>
      </c>
      <c r="AG3" s="26" t="s">
        <v>292</v>
      </c>
      <c r="AH3" s="29" t="s">
        <v>285</v>
      </c>
      <c r="AI3" s="26" t="s">
        <v>291</v>
      </c>
      <c r="AJ3" s="26" t="s">
        <v>291</v>
      </c>
      <c r="AK3" s="26" t="s">
        <v>291</v>
      </c>
      <c r="AL3" s="26" t="s">
        <v>291</v>
      </c>
      <c r="AM3" s="26" t="s">
        <v>291</v>
      </c>
      <c r="AN3" s="26" t="s">
        <v>291</v>
      </c>
      <c r="AO3" s="26" t="s">
        <v>291</v>
      </c>
      <c r="AP3" s="26" t="s">
        <v>291</v>
      </c>
      <c r="AQ3" s="26" t="s">
        <v>291</v>
      </c>
      <c r="AR3" s="26" t="s">
        <v>291</v>
      </c>
      <c r="AS3" s="26" t="s">
        <v>291</v>
      </c>
      <c r="AT3" s="26" t="s">
        <v>291</v>
      </c>
      <c r="AU3" s="26" t="s">
        <v>291</v>
      </c>
      <c r="AV3" s="26" t="s">
        <v>291</v>
      </c>
      <c r="AW3" s="29" t="s">
        <v>285</v>
      </c>
      <c r="AX3" s="26" t="s">
        <v>291</v>
      </c>
      <c r="AY3" s="26" t="s">
        <v>291</v>
      </c>
      <c r="AZ3" s="26" t="s">
        <v>291</v>
      </c>
      <c r="BA3" s="29" t="s">
        <v>285</v>
      </c>
      <c r="BB3" s="26" t="s">
        <v>291</v>
      </c>
      <c r="BC3" s="50">
        <f t="shared" ref="BC3:BC34" si="0">COUNTIF(D3:BB3,"A")</f>
        <v>6</v>
      </c>
      <c r="BD3" s="95">
        <f t="shared" ref="BD3:BD34" si="1">COUNTIF(D3:BB3,"T")</f>
        <v>5</v>
      </c>
      <c r="BE3" s="127" t="s">
        <v>397</v>
      </c>
      <c r="BF3" s="129" t="s">
        <v>127</v>
      </c>
      <c r="BG3" s="130" t="s">
        <v>422</v>
      </c>
      <c r="BH3" s="130" t="s">
        <v>422</v>
      </c>
      <c r="BI3" s="130"/>
      <c r="BJ3" s="130"/>
      <c r="BK3">
        <v>20</v>
      </c>
    </row>
    <row r="4" spans="1:63" ht="15.5" x14ac:dyDescent="0.35">
      <c r="A4" t="s">
        <v>98</v>
      </c>
      <c r="B4" s="14" t="s">
        <v>98</v>
      </c>
      <c r="C4" s="54" t="s">
        <v>128</v>
      </c>
      <c r="D4" s="55" t="s">
        <v>291</v>
      </c>
      <c r="E4" s="55" t="s">
        <v>291</v>
      </c>
      <c r="F4" s="55" t="s">
        <v>291</v>
      </c>
      <c r="G4" s="55" t="s">
        <v>291</v>
      </c>
      <c r="H4" s="55" t="s">
        <v>291</v>
      </c>
      <c r="I4" s="55" t="s">
        <v>291</v>
      </c>
      <c r="J4" s="55" t="s">
        <v>291</v>
      </c>
      <c r="K4" s="55" t="s">
        <v>291</v>
      </c>
      <c r="L4" s="55" t="s">
        <v>291</v>
      </c>
      <c r="M4" s="57" t="s">
        <v>291</v>
      </c>
      <c r="N4" s="55" t="s">
        <v>291</v>
      </c>
      <c r="O4" s="15" t="s">
        <v>291</v>
      </c>
      <c r="P4" s="58" t="s">
        <v>291</v>
      </c>
      <c r="Q4" s="24" t="s">
        <v>291</v>
      </c>
      <c r="R4" s="24" t="s">
        <v>291</v>
      </c>
      <c r="S4" s="24" t="s">
        <v>291</v>
      </c>
      <c r="T4" s="24" t="s">
        <v>291</v>
      </c>
      <c r="U4" s="25" t="s">
        <v>291</v>
      </c>
      <c r="V4" s="25" t="s">
        <v>291</v>
      </c>
      <c r="W4" s="42" t="s">
        <v>291</v>
      </c>
      <c r="X4" s="26" t="s">
        <v>291</v>
      </c>
      <c r="Y4" s="26" t="s">
        <v>291</v>
      </c>
      <c r="Z4" s="29" t="s">
        <v>285</v>
      </c>
      <c r="AA4" s="26" t="s">
        <v>291</v>
      </c>
      <c r="AB4" s="29" t="s">
        <v>285</v>
      </c>
      <c r="AC4" s="26" t="s">
        <v>291</v>
      </c>
      <c r="AD4" s="26" t="s">
        <v>291</v>
      </c>
      <c r="AE4" s="26" t="s">
        <v>291</v>
      </c>
      <c r="AF4" s="26" t="s">
        <v>291</v>
      </c>
      <c r="AG4" s="26" t="s">
        <v>291</v>
      </c>
      <c r="AH4" s="26" t="s">
        <v>291</v>
      </c>
      <c r="AI4" s="26" t="s">
        <v>291</v>
      </c>
      <c r="AJ4" s="26" t="s">
        <v>291</v>
      </c>
      <c r="AK4" s="26" t="s">
        <v>291</v>
      </c>
      <c r="AL4" s="26" t="s">
        <v>291</v>
      </c>
      <c r="AM4" s="26" t="s">
        <v>291</v>
      </c>
      <c r="AN4" s="26" t="s">
        <v>291</v>
      </c>
      <c r="AO4" s="26" t="s">
        <v>291</v>
      </c>
      <c r="AP4" s="26" t="s">
        <v>291</v>
      </c>
      <c r="AQ4" s="26" t="s">
        <v>291</v>
      </c>
      <c r="AR4" s="29" t="s">
        <v>285</v>
      </c>
      <c r="AS4" s="26" t="s">
        <v>291</v>
      </c>
      <c r="AT4" s="26" t="s">
        <v>291</v>
      </c>
      <c r="AU4" s="26" t="s">
        <v>291</v>
      </c>
      <c r="AV4" s="26" t="s">
        <v>291</v>
      </c>
      <c r="AW4" s="26" t="s">
        <v>291</v>
      </c>
      <c r="AX4" s="26" t="s">
        <v>291</v>
      </c>
      <c r="AY4" s="26" t="s">
        <v>291</v>
      </c>
      <c r="AZ4" s="26" t="s">
        <v>291</v>
      </c>
      <c r="BA4" s="26" t="s">
        <v>291</v>
      </c>
      <c r="BB4" s="26" t="s">
        <v>291</v>
      </c>
      <c r="BC4" s="50">
        <f t="shared" si="0"/>
        <v>3</v>
      </c>
      <c r="BD4" s="95">
        <f t="shared" si="1"/>
        <v>0</v>
      </c>
      <c r="BE4" s="127" t="s">
        <v>98</v>
      </c>
      <c r="BF4" s="129" t="s">
        <v>128</v>
      </c>
      <c r="BG4" s="133">
        <v>10</v>
      </c>
      <c r="BH4" s="133">
        <v>10</v>
      </c>
      <c r="BI4" s="130"/>
      <c r="BJ4" s="130"/>
      <c r="BK4">
        <f t="shared" ref="BK4:BK62" si="2">IF(SUM(BG4:BJ4)=40,"",40-SUM(BG4:BJ4))</f>
        <v>20</v>
      </c>
    </row>
    <row r="5" spans="1:63" ht="15.5" x14ac:dyDescent="0.35">
      <c r="A5" t="s">
        <v>129</v>
      </c>
      <c r="B5" s="14" t="s">
        <v>129</v>
      </c>
      <c r="C5" s="54" t="s">
        <v>130</v>
      </c>
      <c r="D5" s="55" t="s">
        <v>291</v>
      </c>
      <c r="E5" s="55" t="s">
        <v>291</v>
      </c>
      <c r="F5" s="55" t="s">
        <v>291</v>
      </c>
      <c r="G5" s="55" t="s">
        <v>291</v>
      </c>
      <c r="H5" s="55" t="s">
        <v>291</v>
      </c>
      <c r="I5" s="55" t="s">
        <v>291</v>
      </c>
      <c r="J5" s="55" t="s">
        <v>291</v>
      </c>
      <c r="K5" s="55" t="s">
        <v>291</v>
      </c>
      <c r="L5" s="55" t="s">
        <v>291</v>
      </c>
      <c r="M5" s="57" t="s">
        <v>291</v>
      </c>
      <c r="N5" s="55" t="s">
        <v>291</v>
      </c>
      <c r="O5" s="15" t="s">
        <v>291</v>
      </c>
      <c r="P5" s="58" t="s">
        <v>291</v>
      </c>
      <c r="Q5" s="24" t="s">
        <v>291</v>
      </c>
      <c r="R5" s="24" t="s">
        <v>291</v>
      </c>
      <c r="S5" s="24" t="s">
        <v>291</v>
      </c>
      <c r="T5" s="24" t="s">
        <v>291</v>
      </c>
      <c r="U5" s="25" t="s">
        <v>291</v>
      </c>
      <c r="V5" s="25" t="s">
        <v>291</v>
      </c>
      <c r="W5" s="42" t="s">
        <v>291</v>
      </c>
      <c r="X5" s="26" t="s">
        <v>292</v>
      </c>
      <c r="Y5" s="26" t="s">
        <v>291</v>
      </c>
      <c r="Z5" s="26" t="s">
        <v>291</v>
      </c>
      <c r="AA5" s="26" t="s">
        <v>291</v>
      </c>
      <c r="AB5" s="26" t="s">
        <v>291</v>
      </c>
      <c r="AC5" s="26" t="s">
        <v>291</v>
      </c>
      <c r="AD5" s="26" t="s">
        <v>291</v>
      </c>
      <c r="AE5" s="26" t="s">
        <v>291</v>
      </c>
      <c r="AF5" s="26" t="s">
        <v>291</v>
      </c>
      <c r="AG5" s="26" t="s">
        <v>291</v>
      </c>
      <c r="AH5" s="26" t="s">
        <v>291</v>
      </c>
      <c r="AI5" s="26" t="s">
        <v>291</v>
      </c>
      <c r="AJ5" s="26" t="s">
        <v>291</v>
      </c>
      <c r="AK5" s="26" t="s">
        <v>291</v>
      </c>
      <c r="AL5" s="26" t="s">
        <v>291</v>
      </c>
      <c r="AM5" s="26" t="s">
        <v>291</v>
      </c>
      <c r="AN5" s="26" t="s">
        <v>291</v>
      </c>
      <c r="AO5" s="26" t="s">
        <v>291</v>
      </c>
      <c r="AP5" s="26" t="s">
        <v>291</v>
      </c>
      <c r="AQ5" s="26" t="s">
        <v>291</v>
      </c>
      <c r="AR5" s="26" t="s">
        <v>292</v>
      </c>
      <c r="AS5" s="29" t="s">
        <v>285</v>
      </c>
      <c r="AT5" s="26" t="s">
        <v>291</v>
      </c>
      <c r="AU5" s="26" t="s">
        <v>291</v>
      </c>
      <c r="AV5" s="26" t="s">
        <v>291</v>
      </c>
      <c r="AW5" s="29" t="s">
        <v>285</v>
      </c>
      <c r="AX5" s="26" t="s">
        <v>291</v>
      </c>
      <c r="AY5" s="26" t="s">
        <v>291</v>
      </c>
      <c r="AZ5" s="29" t="s">
        <v>285</v>
      </c>
      <c r="BA5" s="26" t="s">
        <v>291</v>
      </c>
      <c r="BB5" s="26" t="s">
        <v>291</v>
      </c>
      <c r="BC5" s="50">
        <f t="shared" si="0"/>
        <v>3</v>
      </c>
      <c r="BD5" s="95">
        <f t="shared" si="1"/>
        <v>2</v>
      </c>
      <c r="BE5" s="127" t="s">
        <v>129</v>
      </c>
      <c r="BF5" s="129" t="s">
        <v>130</v>
      </c>
      <c r="BG5" s="133">
        <v>10</v>
      </c>
      <c r="BH5" s="133">
        <v>10</v>
      </c>
      <c r="BI5" s="130"/>
      <c r="BJ5" s="130"/>
      <c r="BK5">
        <f t="shared" si="2"/>
        <v>20</v>
      </c>
    </row>
    <row r="6" spans="1:63" ht="15.5" x14ac:dyDescent="0.35">
      <c r="A6" t="s">
        <v>131</v>
      </c>
      <c r="B6" s="14" t="s">
        <v>131</v>
      </c>
      <c r="C6" s="54" t="s">
        <v>132</v>
      </c>
      <c r="D6" s="55" t="s">
        <v>291</v>
      </c>
      <c r="E6" s="55" t="s">
        <v>291</v>
      </c>
      <c r="F6" s="55" t="s">
        <v>291</v>
      </c>
      <c r="G6" s="55" t="s">
        <v>291</v>
      </c>
      <c r="H6" s="55" t="s">
        <v>291</v>
      </c>
      <c r="I6" s="55" t="s">
        <v>291</v>
      </c>
      <c r="J6" s="55" t="s">
        <v>291</v>
      </c>
      <c r="K6" s="55" t="s">
        <v>291</v>
      </c>
      <c r="L6" s="55" t="s">
        <v>291</v>
      </c>
      <c r="M6" s="57" t="s">
        <v>291</v>
      </c>
      <c r="N6" s="55" t="s">
        <v>291</v>
      </c>
      <c r="O6" s="15" t="s">
        <v>291</v>
      </c>
      <c r="P6" s="58" t="s">
        <v>291</v>
      </c>
      <c r="Q6" s="24" t="s">
        <v>291</v>
      </c>
      <c r="R6" s="24" t="s">
        <v>291</v>
      </c>
      <c r="S6" s="24" t="s">
        <v>291</v>
      </c>
      <c r="T6" s="24" t="s">
        <v>291</v>
      </c>
      <c r="U6" s="25" t="s">
        <v>291</v>
      </c>
      <c r="V6" s="25" t="s">
        <v>291</v>
      </c>
      <c r="W6" s="42" t="s">
        <v>291</v>
      </c>
      <c r="X6" s="26" t="s">
        <v>291</v>
      </c>
      <c r="Y6" s="26" t="s">
        <v>291</v>
      </c>
      <c r="Z6" s="26" t="s">
        <v>291</v>
      </c>
      <c r="AA6" s="26" t="s">
        <v>291</v>
      </c>
      <c r="AB6" s="26" t="s">
        <v>291</v>
      </c>
      <c r="AC6" s="26" t="s">
        <v>291</v>
      </c>
      <c r="AD6" s="26" t="s">
        <v>291</v>
      </c>
      <c r="AE6" s="26" t="s">
        <v>291</v>
      </c>
      <c r="AF6" s="26" t="s">
        <v>291</v>
      </c>
      <c r="AG6" s="26" t="s">
        <v>291</v>
      </c>
      <c r="AH6" s="26" t="s">
        <v>291</v>
      </c>
      <c r="AI6" s="26" t="s">
        <v>291</v>
      </c>
      <c r="AJ6" s="26" t="s">
        <v>291</v>
      </c>
      <c r="AK6" s="26" t="s">
        <v>291</v>
      </c>
      <c r="AL6" s="26" t="s">
        <v>291</v>
      </c>
      <c r="AM6" s="26" t="s">
        <v>291</v>
      </c>
      <c r="AN6" s="26" t="s">
        <v>291</v>
      </c>
      <c r="AO6" s="26" t="s">
        <v>291</v>
      </c>
      <c r="AP6" s="26" t="s">
        <v>291</v>
      </c>
      <c r="AQ6" s="26" t="s">
        <v>291</v>
      </c>
      <c r="AR6" s="26" t="s">
        <v>291</v>
      </c>
      <c r="AS6" s="26" t="s">
        <v>291</v>
      </c>
      <c r="AT6" s="26" t="s">
        <v>291</v>
      </c>
      <c r="AU6" s="26" t="s">
        <v>291</v>
      </c>
      <c r="AV6" s="26" t="s">
        <v>291</v>
      </c>
      <c r="AW6" s="26" t="s">
        <v>291</v>
      </c>
      <c r="AX6" s="26" t="s">
        <v>291</v>
      </c>
      <c r="AY6" s="26" t="s">
        <v>291</v>
      </c>
      <c r="AZ6" s="26" t="s">
        <v>291</v>
      </c>
      <c r="BA6" s="26" t="s">
        <v>291</v>
      </c>
      <c r="BB6" s="26" t="s">
        <v>291</v>
      </c>
      <c r="BC6" s="50">
        <f t="shared" si="0"/>
        <v>0</v>
      </c>
      <c r="BD6" s="95">
        <f t="shared" si="1"/>
        <v>0</v>
      </c>
      <c r="BE6" s="127" t="s">
        <v>131</v>
      </c>
      <c r="BF6" s="129" t="s">
        <v>132</v>
      </c>
      <c r="BG6" s="133">
        <v>10</v>
      </c>
      <c r="BH6" s="133">
        <v>10</v>
      </c>
      <c r="BI6" s="130"/>
      <c r="BJ6" s="130"/>
      <c r="BK6">
        <f t="shared" si="2"/>
        <v>20</v>
      </c>
    </row>
    <row r="7" spans="1:63" ht="15.5" x14ac:dyDescent="0.35">
      <c r="A7" t="s">
        <v>133</v>
      </c>
      <c r="B7" s="14" t="s">
        <v>133</v>
      </c>
      <c r="C7" s="54" t="s">
        <v>134</v>
      </c>
      <c r="D7" s="55" t="s">
        <v>291</v>
      </c>
      <c r="E7" s="55" t="s">
        <v>291</v>
      </c>
      <c r="F7" s="55" t="s">
        <v>291</v>
      </c>
      <c r="G7" s="55" t="s">
        <v>291</v>
      </c>
      <c r="H7" s="55" t="s">
        <v>291</v>
      </c>
      <c r="I7" s="56" t="s">
        <v>285</v>
      </c>
      <c r="J7" s="55" t="s">
        <v>291</v>
      </c>
      <c r="K7" s="55" t="s">
        <v>291</v>
      </c>
      <c r="L7" s="56" t="s">
        <v>285</v>
      </c>
      <c r="M7" s="57" t="s">
        <v>291</v>
      </c>
      <c r="N7" s="55" t="s">
        <v>291</v>
      </c>
      <c r="O7" s="15" t="s">
        <v>291</v>
      </c>
      <c r="P7" s="59" t="s">
        <v>291</v>
      </c>
      <c r="Q7" s="24" t="s">
        <v>291</v>
      </c>
      <c r="R7" s="24" t="s">
        <v>291</v>
      </c>
      <c r="S7" s="24" t="s">
        <v>291</v>
      </c>
      <c r="T7" s="24" t="s">
        <v>291</v>
      </c>
      <c r="U7" s="25" t="s">
        <v>291</v>
      </c>
      <c r="V7" s="60" t="s">
        <v>285</v>
      </c>
      <c r="W7" s="42" t="s">
        <v>291</v>
      </c>
      <c r="X7" s="26" t="s">
        <v>291</v>
      </c>
      <c r="Y7" s="26" t="s">
        <v>291</v>
      </c>
      <c r="Z7" s="26" t="s">
        <v>291</v>
      </c>
      <c r="AA7" s="26" t="s">
        <v>292</v>
      </c>
      <c r="AB7" s="26" t="s">
        <v>291</v>
      </c>
      <c r="AC7" s="29" t="s">
        <v>285</v>
      </c>
      <c r="AD7" s="26" t="s">
        <v>291</v>
      </c>
      <c r="AE7" s="26" t="s">
        <v>291</v>
      </c>
      <c r="AF7" s="26" t="s">
        <v>291</v>
      </c>
      <c r="AG7" s="26" t="s">
        <v>291</v>
      </c>
      <c r="AH7" s="29" t="s">
        <v>285</v>
      </c>
      <c r="AI7" s="26" t="s">
        <v>291</v>
      </c>
      <c r="AJ7" s="26" t="s">
        <v>291</v>
      </c>
      <c r="AK7" s="26" t="s">
        <v>291</v>
      </c>
      <c r="AL7" s="26" t="s">
        <v>291</v>
      </c>
      <c r="AM7" s="26" t="s">
        <v>291</v>
      </c>
      <c r="AN7" s="26" t="s">
        <v>291</v>
      </c>
      <c r="AO7" s="26" t="s">
        <v>291</v>
      </c>
      <c r="AP7" s="29" t="s">
        <v>285</v>
      </c>
      <c r="AQ7" s="26" t="s">
        <v>291</v>
      </c>
      <c r="AR7" s="26" t="s">
        <v>291</v>
      </c>
      <c r="AS7" s="26" t="s">
        <v>291</v>
      </c>
      <c r="AT7" s="26" t="s">
        <v>291</v>
      </c>
      <c r="AU7" s="26" t="s">
        <v>291</v>
      </c>
      <c r="AV7" s="26" t="s">
        <v>291</v>
      </c>
      <c r="AW7" s="26" t="s">
        <v>291</v>
      </c>
      <c r="AX7" s="26" t="s">
        <v>291</v>
      </c>
      <c r="AY7" s="29" t="s">
        <v>285</v>
      </c>
      <c r="AZ7" s="26" t="s">
        <v>291</v>
      </c>
      <c r="BA7" s="26" t="s">
        <v>291</v>
      </c>
      <c r="BB7" s="26" t="s">
        <v>291</v>
      </c>
      <c r="BC7" s="50">
        <f t="shared" si="0"/>
        <v>7</v>
      </c>
      <c r="BD7" s="95">
        <f t="shared" si="1"/>
        <v>1</v>
      </c>
      <c r="BE7" s="127" t="s">
        <v>133</v>
      </c>
      <c r="BF7" s="129" t="s">
        <v>134</v>
      </c>
      <c r="BG7" s="133">
        <v>10</v>
      </c>
      <c r="BH7" s="133">
        <v>10</v>
      </c>
      <c r="BI7" s="130"/>
      <c r="BJ7" s="130"/>
      <c r="BK7">
        <f t="shared" si="2"/>
        <v>20</v>
      </c>
    </row>
    <row r="8" spans="1:63" ht="15.5" x14ac:dyDescent="0.35">
      <c r="A8" t="s">
        <v>135</v>
      </c>
      <c r="B8" s="14" t="s">
        <v>135</v>
      </c>
      <c r="C8" s="54" t="s">
        <v>134</v>
      </c>
      <c r="D8" s="55" t="s">
        <v>291</v>
      </c>
      <c r="E8" s="55" t="s">
        <v>292</v>
      </c>
      <c r="F8" s="55" t="s">
        <v>291</v>
      </c>
      <c r="G8" s="55" t="s">
        <v>291</v>
      </c>
      <c r="H8" s="55" t="s">
        <v>291</v>
      </c>
      <c r="I8" s="55" t="s">
        <v>291</v>
      </c>
      <c r="J8" s="55" t="s">
        <v>291</v>
      </c>
      <c r="K8" s="55" t="s">
        <v>292</v>
      </c>
      <c r="L8" s="55" t="s">
        <v>291</v>
      </c>
      <c r="M8" s="57" t="s">
        <v>291</v>
      </c>
      <c r="N8" s="55" t="s">
        <v>291</v>
      </c>
      <c r="O8" s="15" t="s">
        <v>291</v>
      </c>
      <c r="P8" s="58" t="s">
        <v>291</v>
      </c>
      <c r="Q8" s="24" t="s">
        <v>291</v>
      </c>
      <c r="R8" s="24" t="s">
        <v>291</v>
      </c>
      <c r="S8" s="24" t="s">
        <v>291</v>
      </c>
      <c r="T8" s="24" t="s">
        <v>291</v>
      </c>
      <c r="U8" s="25" t="s">
        <v>292</v>
      </c>
      <c r="V8" s="25" t="s">
        <v>291</v>
      </c>
      <c r="W8" s="42" t="s">
        <v>291</v>
      </c>
      <c r="X8" s="26" t="s">
        <v>291</v>
      </c>
      <c r="Y8" s="26" t="s">
        <v>291</v>
      </c>
      <c r="Z8" s="26" t="s">
        <v>291</v>
      </c>
      <c r="AA8" s="26" t="s">
        <v>291</v>
      </c>
      <c r="AB8" s="26" t="s">
        <v>291</v>
      </c>
      <c r="AC8" s="26" t="s">
        <v>291</v>
      </c>
      <c r="AD8" s="26" t="s">
        <v>291</v>
      </c>
      <c r="AE8" s="26" t="s">
        <v>291</v>
      </c>
      <c r="AF8" s="26" t="s">
        <v>292</v>
      </c>
      <c r="AG8" s="26" t="s">
        <v>292</v>
      </c>
      <c r="AH8" s="26" t="s">
        <v>291</v>
      </c>
      <c r="AI8" s="26" t="s">
        <v>291</v>
      </c>
      <c r="AJ8" s="26" t="s">
        <v>291</v>
      </c>
      <c r="AK8" s="26" t="s">
        <v>291</v>
      </c>
      <c r="AL8" s="26" t="s">
        <v>292</v>
      </c>
      <c r="AM8" s="26" t="s">
        <v>291</v>
      </c>
      <c r="AN8" s="26" t="s">
        <v>291</v>
      </c>
      <c r="AO8" s="26" t="s">
        <v>291</v>
      </c>
      <c r="AP8" s="26" t="s">
        <v>291</v>
      </c>
      <c r="AQ8" s="26" t="s">
        <v>291</v>
      </c>
      <c r="AR8" s="26" t="s">
        <v>292</v>
      </c>
      <c r="AS8" s="26" t="s">
        <v>292</v>
      </c>
      <c r="AT8" s="26" t="s">
        <v>291</v>
      </c>
      <c r="AU8" s="26" t="s">
        <v>292</v>
      </c>
      <c r="AV8" s="26" t="s">
        <v>291</v>
      </c>
      <c r="AW8" s="26" t="s">
        <v>291</v>
      </c>
      <c r="AX8" s="26" t="s">
        <v>291</v>
      </c>
      <c r="AY8" s="26" t="s">
        <v>291</v>
      </c>
      <c r="AZ8" s="26" t="s">
        <v>291</v>
      </c>
      <c r="BA8" s="26" t="s">
        <v>291</v>
      </c>
      <c r="BB8" s="26" t="s">
        <v>291</v>
      </c>
      <c r="BC8" s="50">
        <f t="shared" si="0"/>
        <v>0</v>
      </c>
      <c r="BD8" s="95">
        <f t="shared" si="1"/>
        <v>9</v>
      </c>
      <c r="BE8" s="127" t="s">
        <v>135</v>
      </c>
      <c r="BF8" s="129" t="s">
        <v>134</v>
      </c>
      <c r="BG8" s="133">
        <v>10</v>
      </c>
      <c r="BH8" s="133">
        <v>10</v>
      </c>
      <c r="BI8" s="130"/>
      <c r="BJ8" s="130"/>
      <c r="BK8">
        <f t="shared" si="2"/>
        <v>20</v>
      </c>
    </row>
    <row r="9" spans="1:63" ht="15.5" x14ac:dyDescent="0.35">
      <c r="A9" t="s">
        <v>14</v>
      </c>
      <c r="B9" s="14" t="s">
        <v>14</v>
      </c>
      <c r="C9" s="54" t="s">
        <v>23</v>
      </c>
      <c r="D9" s="55" t="s">
        <v>291</v>
      </c>
      <c r="E9" s="55" t="s">
        <v>291</v>
      </c>
      <c r="F9" s="55" t="s">
        <v>291</v>
      </c>
      <c r="G9" s="55" t="s">
        <v>291</v>
      </c>
      <c r="H9" s="55" t="s">
        <v>291</v>
      </c>
      <c r="I9" s="55" t="s">
        <v>291</v>
      </c>
      <c r="J9" s="55" t="s">
        <v>291</v>
      </c>
      <c r="K9" s="55" t="s">
        <v>291</v>
      </c>
      <c r="L9" s="55" t="s">
        <v>291</v>
      </c>
      <c r="M9" s="57" t="s">
        <v>291</v>
      </c>
      <c r="N9" s="55" t="s">
        <v>291</v>
      </c>
      <c r="O9" s="32" t="s">
        <v>285</v>
      </c>
      <c r="P9" s="58" t="s">
        <v>291</v>
      </c>
      <c r="Q9" s="24" t="s">
        <v>291</v>
      </c>
      <c r="R9" s="24" t="s">
        <v>291</v>
      </c>
      <c r="S9" s="24" t="s">
        <v>291</v>
      </c>
      <c r="T9" s="24" t="s">
        <v>291</v>
      </c>
      <c r="U9" s="60" t="s">
        <v>285</v>
      </c>
      <c r="V9" s="25" t="s">
        <v>291</v>
      </c>
      <c r="W9" s="42" t="s">
        <v>291</v>
      </c>
      <c r="X9" s="26" t="s">
        <v>291</v>
      </c>
      <c r="Y9" s="26" t="s">
        <v>291</v>
      </c>
      <c r="Z9" s="26" t="s">
        <v>291</v>
      </c>
      <c r="AA9" s="29" t="s">
        <v>285</v>
      </c>
      <c r="AB9" s="26" t="s">
        <v>291</v>
      </c>
      <c r="AC9" s="26" t="s">
        <v>291</v>
      </c>
      <c r="AD9" s="26" t="s">
        <v>291</v>
      </c>
      <c r="AE9" s="26" t="s">
        <v>291</v>
      </c>
      <c r="AF9" s="26" t="s">
        <v>292</v>
      </c>
      <c r="AG9" s="29" t="s">
        <v>285</v>
      </c>
      <c r="AH9" s="26" t="s">
        <v>291</v>
      </c>
      <c r="AI9" s="26" t="s">
        <v>291</v>
      </c>
      <c r="AJ9" s="26" t="s">
        <v>291</v>
      </c>
      <c r="AK9" s="26" t="s">
        <v>291</v>
      </c>
      <c r="AL9" s="26" t="s">
        <v>291</v>
      </c>
      <c r="AM9" s="26" t="s">
        <v>291</v>
      </c>
      <c r="AN9" s="29" t="s">
        <v>285</v>
      </c>
      <c r="AO9" s="26" t="s">
        <v>291</v>
      </c>
      <c r="AP9" s="26" t="s">
        <v>291</v>
      </c>
      <c r="AQ9" s="26" t="s">
        <v>292</v>
      </c>
      <c r="AR9" s="26" t="s">
        <v>291</v>
      </c>
      <c r="AS9" s="26" t="s">
        <v>291</v>
      </c>
      <c r="AT9" s="26" t="s">
        <v>291</v>
      </c>
      <c r="AU9" s="26" t="s">
        <v>291</v>
      </c>
      <c r="AV9" s="26" t="s">
        <v>291</v>
      </c>
      <c r="AW9" s="26" t="s">
        <v>291</v>
      </c>
      <c r="AX9" s="26" t="s">
        <v>291</v>
      </c>
      <c r="AY9" s="26" t="s">
        <v>292</v>
      </c>
      <c r="AZ9" s="26" t="s">
        <v>291</v>
      </c>
      <c r="BA9" s="29" t="s">
        <v>285</v>
      </c>
      <c r="BB9" s="26" t="s">
        <v>291</v>
      </c>
      <c r="BC9" s="50">
        <f t="shared" si="0"/>
        <v>6</v>
      </c>
      <c r="BD9" s="95">
        <f t="shared" si="1"/>
        <v>3</v>
      </c>
      <c r="BE9" s="127" t="s">
        <v>14</v>
      </c>
      <c r="BF9" s="129" t="s">
        <v>23</v>
      </c>
      <c r="BG9" s="133">
        <v>10</v>
      </c>
      <c r="BH9" s="133">
        <v>10</v>
      </c>
      <c r="BI9" s="133">
        <v>10</v>
      </c>
      <c r="BJ9" s="133">
        <v>10</v>
      </c>
      <c r="BK9" t="str">
        <f t="shared" si="2"/>
        <v/>
      </c>
    </row>
    <row r="10" spans="1:63" ht="15.5" x14ac:dyDescent="0.35">
      <c r="A10" t="s">
        <v>11</v>
      </c>
      <c r="B10" s="14" t="s">
        <v>11</v>
      </c>
      <c r="C10" s="54" t="s">
        <v>136</v>
      </c>
      <c r="D10" s="55" t="s">
        <v>291</v>
      </c>
      <c r="E10" s="55" t="s">
        <v>291</v>
      </c>
      <c r="F10" s="55" t="s">
        <v>291</v>
      </c>
      <c r="G10" s="55" t="s">
        <v>291</v>
      </c>
      <c r="H10" s="55" t="s">
        <v>291</v>
      </c>
      <c r="I10" s="55" t="s">
        <v>291</v>
      </c>
      <c r="J10" s="55" t="s">
        <v>291</v>
      </c>
      <c r="K10" s="55" t="s">
        <v>291</v>
      </c>
      <c r="L10" s="55" t="s">
        <v>291</v>
      </c>
      <c r="M10" s="57" t="s">
        <v>291</v>
      </c>
      <c r="N10" s="55" t="s">
        <v>291</v>
      </c>
      <c r="O10" s="15" t="s">
        <v>291</v>
      </c>
      <c r="P10" s="58" t="s">
        <v>291</v>
      </c>
      <c r="Q10" s="24" t="s">
        <v>291</v>
      </c>
      <c r="R10" s="24" t="s">
        <v>291</v>
      </c>
      <c r="S10" s="24" t="s">
        <v>291</v>
      </c>
      <c r="T10" s="24" t="s">
        <v>291</v>
      </c>
      <c r="U10" s="25" t="s">
        <v>291</v>
      </c>
      <c r="V10" s="25" t="s">
        <v>291</v>
      </c>
      <c r="W10" s="42" t="s">
        <v>291</v>
      </c>
      <c r="X10" s="26" t="s">
        <v>291</v>
      </c>
      <c r="Y10" s="26" t="s">
        <v>291</v>
      </c>
      <c r="Z10" s="26" t="s">
        <v>291</v>
      </c>
      <c r="AA10" s="26" t="s">
        <v>291</v>
      </c>
      <c r="AB10" s="26" t="s">
        <v>291</v>
      </c>
      <c r="AC10" s="26" t="s">
        <v>291</v>
      </c>
      <c r="AD10" s="26" t="s">
        <v>291</v>
      </c>
      <c r="AE10" s="26" t="s">
        <v>291</v>
      </c>
      <c r="AF10" s="26" t="s">
        <v>291</v>
      </c>
      <c r="AG10" s="26" t="s">
        <v>291</v>
      </c>
      <c r="AH10" s="26" t="s">
        <v>291</v>
      </c>
      <c r="AI10" s="26" t="s">
        <v>291</v>
      </c>
      <c r="AJ10" s="26" t="s">
        <v>291</v>
      </c>
      <c r="AK10" s="26" t="s">
        <v>291</v>
      </c>
      <c r="AL10" s="26" t="s">
        <v>291</v>
      </c>
      <c r="AM10" s="26" t="s">
        <v>291</v>
      </c>
      <c r="AN10" s="26" t="s">
        <v>291</v>
      </c>
      <c r="AO10" s="26" t="s">
        <v>291</v>
      </c>
      <c r="AP10" s="26" t="s">
        <v>291</v>
      </c>
      <c r="AQ10" s="26" t="s">
        <v>291</v>
      </c>
      <c r="AR10" s="26" t="s">
        <v>291</v>
      </c>
      <c r="AS10" s="29" t="s">
        <v>285</v>
      </c>
      <c r="AT10" s="26" t="s">
        <v>291</v>
      </c>
      <c r="AU10" s="29" t="s">
        <v>285</v>
      </c>
      <c r="AV10" s="26" t="s">
        <v>291</v>
      </c>
      <c r="AW10" s="26" t="s">
        <v>291</v>
      </c>
      <c r="AX10" s="26" t="s">
        <v>291</v>
      </c>
      <c r="AY10" s="26" t="s">
        <v>291</v>
      </c>
      <c r="AZ10" s="26" t="s">
        <v>291</v>
      </c>
      <c r="BA10" s="26" t="s">
        <v>291</v>
      </c>
      <c r="BB10" s="26" t="s">
        <v>291</v>
      </c>
      <c r="BC10" s="50">
        <f t="shared" si="0"/>
        <v>2</v>
      </c>
      <c r="BD10" s="95">
        <f t="shared" si="1"/>
        <v>0</v>
      </c>
      <c r="BE10" s="127" t="s">
        <v>11</v>
      </c>
      <c r="BF10" s="129" t="s">
        <v>136</v>
      </c>
      <c r="BG10" s="133">
        <v>10</v>
      </c>
      <c r="BH10" s="133">
        <v>10</v>
      </c>
      <c r="BI10" s="133">
        <v>10</v>
      </c>
      <c r="BJ10" s="133">
        <v>10</v>
      </c>
      <c r="BK10" t="str">
        <f t="shared" si="2"/>
        <v/>
      </c>
    </row>
    <row r="11" spans="1:63" ht="15.5" x14ac:dyDescent="0.35">
      <c r="A11" t="s">
        <v>137</v>
      </c>
      <c r="B11" s="14" t="s">
        <v>137</v>
      </c>
      <c r="C11" s="54" t="s">
        <v>99</v>
      </c>
      <c r="D11" s="55" t="s">
        <v>291</v>
      </c>
      <c r="E11" s="56" t="s">
        <v>285</v>
      </c>
      <c r="F11" s="55" t="s">
        <v>291</v>
      </c>
      <c r="G11" s="56" t="s">
        <v>285</v>
      </c>
      <c r="H11" s="56" t="s">
        <v>285</v>
      </c>
      <c r="I11" s="55" t="s">
        <v>292</v>
      </c>
      <c r="J11" s="55" t="s">
        <v>291</v>
      </c>
      <c r="K11" s="55" t="s">
        <v>291</v>
      </c>
      <c r="L11" s="55" t="s">
        <v>291</v>
      </c>
      <c r="M11" s="57" t="s">
        <v>291</v>
      </c>
      <c r="N11" s="55" t="s">
        <v>291</v>
      </c>
      <c r="O11" s="32" t="s">
        <v>285</v>
      </c>
      <c r="P11" s="58" t="s">
        <v>291</v>
      </c>
      <c r="Q11" s="24" t="s">
        <v>291</v>
      </c>
      <c r="R11" s="24" t="s">
        <v>291</v>
      </c>
      <c r="S11" s="24" t="s">
        <v>291</v>
      </c>
      <c r="T11" s="24" t="s">
        <v>291</v>
      </c>
      <c r="U11" s="25" t="s">
        <v>291</v>
      </c>
      <c r="V11" s="25" t="s">
        <v>291</v>
      </c>
      <c r="W11" s="42" t="s">
        <v>291</v>
      </c>
      <c r="X11" s="26" t="s">
        <v>291</v>
      </c>
      <c r="Y11" s="29" t="s">
        <v>285</v>
      </c>
      <c r="Z11" s="26" t="s">
        <v>291</v>
      </c>
      <c r="AA11" s="26" t="s">
        <v>291</v>
      </c>
      <c r="AB11" s="26" t="s">
        <v>291</v>
      </c>
      <c r="AC11" s="26" t="s">
        <v>291</v>
      </c>
      <c r="AD11" s="26" t="s">
        <v>291</v>
      </c>
      <c r="AE11" s="26" t="s">
        <v>291</v>
      </c>
      <c r="AF11" s="26" t="s">
        <v>291</v>
      </c>
      <c r="AG11" s="26" t="s">
        <v>291</v>
      </c>
      <c r="AH11" s="26" t="s">
        <v>291</v>
      </c>
      <c r="AI11" s="26" t="s">
        <v>291</v>
      </c>
      <c r="AJ11" s="26" t="s">
        <v>291</v>
      </c>
      <c r="AK11" s="30" t="s">
        <v>291</v>
      </c>
      <c r="AL11" s="26" t="s">
        <v>291</v>
      </c>
      <c r="AM11" s="26" t="s">
        <v>291</v>
      </c>
      <c r="AN11" s="26" t="s">
        <v>291</v>
      </c>
      <c r="AO11" s="26" t="s">
        <v>291</v>
      </c>
      <c r="AP11" s="26" t="s">
        <v>291</v>
      </c>
      <c r="AQ11" s="26" t="s">
        <v>292</v>
      </c>
      <c r="AR11" s="26" t="s">
        <v>292</v>
      </c>
      <c r="AS11" s="29" t="s">
        <v>285</v>
      </c>
      <c r="AT11" s="26" t="s">
        <v>292</v>
      </c>
      <c r="AU11" s="26" t="s">
        <v>291</v>
      </c>
      <c r="AV11" s="26" t="s">
        <v>291</v>
      </c>
      <c r="AW11" s="26" t="s">
        <v>291</v>
      </c>
      <c r="AX11" s="26" t="s">
        <v>291</v>
      </c>
      <c r="AY11" s="26" t="s">
        <v>291</v>
      </c>
      <c r="AZ11" s="26" t="s">
        <v>291</v>
      </c>
      <c r="BA11" s="26" t="s">
        <v>291</v>
      </c>
      <c r="BB11" s="26" t="s">
        <v>291</v>
      </c>
      <c r="BC11" s="50">
        <f t="shared" si="0"/>
        <v>6</v>
      </c>
      <c r="BD11" s="95">
        <f t="shared" si="1"/>
        <v>4</v>
      </c>
      <c r="BE11" s="127" t="s">
        <v>137</v>
      </c>
      <c r="BF11" s="129" t="s">
        <v>99</v>
      </c>
      <c r="BG11" s="133">
        <v>10</v>
      </c>
      <c r="BH11" s="133">
        <v>10</v>
      </c>
      <c r="BI11" s="133">
        <v>10</v>
      </c>
      <c r="BJ11" s="133">
        <v>10</v>
      </c>
      <c r="BK11" t="str">
        <f t="shared" si="2"/>
        <v/>
      </c>
    </row>
    <row r="12" spans="1:63" ht="15.5" x14ac:dyDescent="0.35">
      <c r="A12" t="s">
        <v>138</v>
      </c>
      <c r="B12" s="14" t="s">
        <v>138</v>
      </c>
      <c r="C12" s="54" t="s">
        <v>102</v>
      </c>
      <c r="D12" s="55" t="s">
        <v>291</v>
      </c>
      <c r="E12" s="55" t="s">
        <v>291</v>
      </c>
      <c r="F12" s="55" t="s">
        <v>291</v>
      </c>
      <c r="G12" s="55" t="s">
        <v>291</v>
      </c>
      <c r="H12" s="55" t="s">
        <v>291</v>
      </c>
      <c r="I12" s="55" t="s">
        <v>291</v>
      </c>
      <c r="J12" s="55" t="s">
        <v>291</v>
      </c>
      <c r="K12" s="55" t="s">
        <v>291</v>
      </c>
      <c r="L12" s="55" t="s">
        <v>291</v>
      </c>
      <c r="M12" s="57" t="s">
        <v>291</v>
      </c>
      <c r="N12" s="56" t="s">
        <v>285</v>
      </c>
      <c r="O12" s="15" t="s">
        <v>291</v>
      </c>
      <c r="P12" s="58" t="s">
        <v>291</v>
      </c>
      <c r="Q12" s="24" t="s">
        <v>291</v>
      </c>
      <c r="R12" s="24" t="s">
        <v>291</v>
      </c>
      <c r="S12" s="24" t="s">
        <v>291</v>
      </c>
      <c r="T12" s="24" t="s">
        <v>291</v>
      </c>
      <c r="U12" s="25" t="s">
        <v>291</v>
      </c>
      <c r="V12" s="25" t="s">
        <v>291</v>
      </c>
      <c r="W12" s="42" t="s">
        <v>291</v>
      </c>
      <c r="X12" s="29" t="s">
        <v>285</v>
      </c>
      <c r="Y12" s="26" t="s">
        <v>291</v>
      </c>
      <c r="Z12" s="26" t="s">
        <v>291</v>
      </c>
      <c r="AA12" s="26" t="s">
        <v>291</v>
      </c>
      <c r="AB12" s="26" t="s">
        <v>291</v>
      </c>
      <c r="AC12" s="26" t="s">
        <v>291</v>
      </c>
      <c r="AD12" s="26" t="s">
        <v>291</v>
      </c>
      <c r="AE12" s="26" t="s">
        <v>291</v>
      </c>
      <c r="AF12" s="26" t="s">
        <v>291</v>
      </c>
      <c r="AG12" s="26" t="s">
        <v>291</v>
      </c>
      <c r="AH12" s="29" t="s">
        <v>285</v>
      </c>
      <c r="AI12" s="26" t="s">
        <v>291</v>
      </c>
      <c r="AJ12" s="26" t="s">
        <v>291</v>
      </c>
      <c r="AK12" s="26" t="s">
        <v>291</v>
      </c>
      <c r="AL12" s="29" t="s">
        <v>285</v>
      </c>
      <c r="AM12" s="26" t="s">
        <v>291</v>
      </c>
      <c r="AN12" s="26" t="s">
        <v>291</v>
      </c>
      <c r="AO12" s="26" t="s">
        <v>291</v>
      </c>
      <c r="AP12" s="26" t="s">
        <v>291</v>
      </c>
      <c r="AQ12" s="26" t="s">
        <v>291</v>
      </c>
      <c r="AR12" s="26" t="s">
        <v>291</v>
      </c>
      <c r="AS12" s="26" t="s">
        <v>291</v>
      </c>
      <c r="AT12" s="26" t="s">
        <v>291</v>
      </c>
      <c r="AU12" s="26" t="s">
        <v>291</v>
      </c>
      <c r="AV12" s="26" t="s">
        <v>291</v>
      </c>
      <c r="AW12" s="26" t="s">
        <v>291</v>
      </c>
      <c r="AX12" s="26" t="s">
        <v>291</v>
      </c>
      <c r="AY12" s="26" t="s">
        <v>291</v>
      </c>
      <c r="AZ12" s="26" t="s">
        <v>291</v>
      </c>
      <c r="BA12" s="26" t="s">
        <v>291</v>
      </c>
      <c r="BB12" s="26" t="s">
        <v>291</v>
      </c>
      <c r="BC12" s="50">
        <f t="shared" si="0"/>
        <v>4</v>
      </c>
      <c r="BD12" s="95">
        <f t="shared" si="1"/>
        <v>0</v>
      </c>
      <c r="BE12" s="127" t="s">
        <v>138</v>
      </c>
      <c r="BF12" s="129" t="s">
        <v>102</v>
      </c>
      <c r="BG12" s="133">
        <v>10</v>
      </c>
      <c r="BH12" s="133">
        <v>10</v>
      </c>
      <c r="BI12" s="130"/>
      <c r="BJ12" s="130"/>
      <c r="BK12">
        <f t="shared" si="2"/>
        <v>20</v>
      </c>
    </row>
    <row r="13" spans="1:63" ht="15.5" x14ac:dyDescent="0.35">
      <c r="A13" t="s">
        <v>139</v>
      </c>
      <c r="B13" s="14" t="s">
        <v>139</v>
      </c>
      <c r="C13" s="54" t="s">
        <v>140</v>
      </c>
      <c r="D13" s="55" t="s">
        <v>291</v>
      </c>
      <c r="E13" s="55" t="s">
        <v>291</v>
      </c>
      <c r="F13" s="55" t="s">
        <v>291</v>
      </c>
      <c r="G13" s="55" t="s">
        <v>291</v>
      </c>
      <c r="H13" s="55" t="s">
        <v>291</v>
      </c>
      <c r="I13" s="55" t="s">
        <v>291</v>
      </c>
      <c r="J13" s="55" t="s">
        <v>291</v>
      </c>
      <c r="K13" s="55" t="s">
        <v>291</v>
      </c>
      <c r="L13" s="55" t="s">
        <v>291</v>
      </c>
      <c r="M13" s="57" t="s">
        <v>291</v>
      </c>
      <c r="N13" s="56" t="s">
        <v>285</v>
      </c>
      <c r="O13" s="15" t="s">
        <v>291</v>
      </c>
      <c r="P13" s="61" t="s">
        <v>285</v>
      </c>
      <c r="Q13" s="24" t="s">
        <v>291</v>
      </c>
      <c r="R13" s="24" t="s">
        <v>291</v>
      </c>
      <c r="S13" s="24" t="s">
        <v>291</v>
      </c>
      <c r="T13" s="24" t="s">
        <v>291</v>
      </c>
      <c r="U13" s="25" t="s">
        <v>291</v>
      </c>
      <c r="V13" s="25" t="s">
        <v>291</v>
      </c>
      <c r="W13" s="46" t="s">
        <v>285</v>
      </c>
      <c r="X13" s="26" t="s">
        <v>291</v>
      </c>
      <c r="Y13" s="26" t="s">
        <v>291</v>
      </c>
      <c r="Z13" s="26" t="s">
        <v>291</v>
      </c>
      <c r="AA13" s="26" t="s">
        <v>292</v>
      </c>
      <c r="AB13" s="26" t="s">
        <v>291</v>
      </c>
      <c r="AC13" s="26" t="s">
        <v>291</v>
      </c>
      <c r="AD13" s="26" t="s">
        <v>291</v>
      </c>
      <c r="AE13" s="29" t="s">
        <v>285</v>
      </c>
      <c r="AF13" s="26" t="s">
        <v>291</v>
      </c>
      <c r="AG13" s="26" t="s">
        <v>291</v>
      </c>
      <c r="AH13" s="26" t="s">
        <v>291</v>
      </c>
      <c r="AI13" s="29" t="s">
        <v>285</v>
      </c>
      <c r="AJ13" s="26" t="s">
        <v>291</v>
      </c>
      <c r="AK13" s="26" t="s">
        <v>291</v>
      </c>
      <c r="AL13" s="26" t="s">
        <v>291</v>
      </c>
      <c r="AM13" s="26" t="s">
        <v>291</v>
      </c>
      <c r="AN13" s="26" t="s">
        <v>291</v>
      </c>
      <c r="AO13" s="26" t="s">
        <v>291</v>
      </c>
      <c r="AP13" s="26" t="s">
        <v>291</v>
      </c>
      <c r="AQ13" s="26" t="s">
        <v>291</v>
      </c>
      <c r="AR13" s="26" t="s">
        <v>291</v>
      </c>
      <c r="AS13" s="29" t="s">
        <v>285</v>
      </c>
      <c r="AT13" s="26" t="s">
        <v>291</v>
      </c>
      <c r="AU13" s="26" t="s">
        <v>291</v>
      </c>
      <c r="AV13" s="26" t="s">
        <v>291</v>
      </c>
      <c r="AW13" s="26" t="s">
        <v>291</v>
      </c>
      <c r="AX13" s="29" t="s">
        <v>285</v>
      </c>
      <c r="AY13" s="26" t="s">
        <v>291</v>
      </c>
      <c r="AZ13" s="26" t="s">
        <v>291</v>
      </c>
      <c r="BA13" s="26" t="s">
        <v>291</v>
      </c>
      <c r="BB13" s="26" t="s">
        <v>291</v>
      </c>
      <c r="BC13" s="50">
        <f t="shared" si="0"/>
        <v>7</v>
      </c>
      <c r="BD13" s="95">
        <f t="shared" si="1"/>
        <v>1</v>
      </c>
      <c r="BE13" s="127" t="s">
        <v>139</v>
      </c>
      <c r="BF13" s="129" t="s">
        <v>140</v>
      </c>
      <c r="BG13" s="133">
        <v>10</v>
      </c>
      <c r="BH13" s="133">
        <v>10</v>
      </c>
      <c r="BI13" s="130"/>
      <c r="BJ13" s="130"/>
      <c r="BK13">
        <f t="shared" si="2"/>
        <v>20</v>
      </c>
    </row>
    <row r="14" spans="1:63" ht="15.5" x14ac:dyDescent="0.35">
      <c r="A14" t="s">
        <v>141</v>
      </c>
      <c r="B14" s="14" t="s">
        <v>141</v>
      </c>
      <c r="C14" s="54" t="s">
        <v>39</v>
      </c>
      <c r="D14" s="55" t="s">
        <v>291</v>
      </c>
      <c r="E14" s="55" t="s">
        <v>291</v>
      </c>
      <c r="F14" s="55" t="s">
        <v>291</v>
      </c>
      <c r="G14" s="55" t="s">
        <v>291</v>
      </c>
      <c r="H14" s="55" t="s">
        <v>291</v>
      </c>
      <c r="I14" s="55" t="s">
        <v>291</v>
      </c>
      <c r="J14" s="56" t="s">
        <v>285</v>
      </c>
      <c r="K14" s="55" t="s">
        <v>291</v>
      </c>
      <c r="L14" s="55" t="s">
        <v>291</v>
      </c>
      <c r="M14" s="57" t="s">
        <v>291</v>
      </c>
      <c r="N14" s="55" t="s">
        <v>291</v>
      </c>
      <c r="O14" s="15" t="s">
        <v>291</v>
      </c>
      <c r="P14" s="58" t="s">
        <v>291</v>
      </c>
      <c r="Q14" s="24" t="s">
        <v>291</v>
      </c>
      <c r="R14" s="24" t="s">
        <v>291</v>
      </c>
      <c r="S14" s="24" t="s">
        <v>291</v>
      </c>
      <c r="T14" s="24" t="s">
        <v>291</v>
      </c>
      <c r="U14" s="25" t="s">
        <v>291</v>
      </c>
      <c r="V14" s="25" t="s">
        <v>291</v>
      </c>
      <c r="W14" s="42" t="s">
        <v>291</v>
      </c>
      <c r="X14" s="26" t="s">
        <v>291</v>
      </c>
      <c r="Y14" s="26" t="s">
        <v>291</v>
      </c>
      <c r="Z14" s="26" t="s">
        <v>291</v>
      </c>
      <c r="AA14" s="26" t="s">
        <v>291</v>
      </c>
      <c r="AB14" s="26" t="s">
        <v>291</v>
      </c>
      <c r="AC14" s="26" t="s">
        <v>291</v>
      </c>
      <c r="AD14" s="26" t="s">
        <v>291</v>
      </c>
      <c r="AE14" s="26" t="s">
        <v>291</v>
      </c>
      <c r="AF14" s="26" t="s">
        <v>291</v>
      </c>
      <c r="AG14" s="26" t="s">
        <v>291</v>
      </c>
      <c r="AH14" s="26" t="s">
        <v>291</v>
      </c>
      <c r="AI14" s="26" t="s">
        <v>291</v>
      </c>
      <c r="AJ14" s="26" t="s">
        <v>291</v>
      </c>
      <c r="AK14" s="26" t="s">
        <v>291</v>
      </c>
      <c r="AL14" s="26" t="s">
        <v>291</v>
      </c>
      <c r="AM14" s="26" t="s">
        <v>291</v>
      </c>
      <c r="AN14" s="29" t="s">
        <v>285</v>
      </c>
      <c r="AO14" s="26" t="s">
        <v>291</v>
      </c>
      <c r="AP14" s="26" t="s">
        <v>291</v>
      </c>
      <c r="AQ14" s="26" t="s">
        <v>291</v>
      </c>
      <c r="AR14" s="26" t="s">
        <v>291</v>
      </c>
      <c r="AS14" s="29" t="s">
        <v>285</v>
      </c>
      <c r="AT14" s="26" t="s">
        <v>292</v>
      </c>
      <c r="AU14" s="26" t="s">
        <v>291</v>
      </c>
      <c r="AV14" s="26" t="s">
        <v>291</v>
      </c>
      <c r="AW14" s="26" t="s">
        <v>291</v>
      </c>
      <c r="AX14" s="26" t="s">
        <v>291</v>
      </c>
      <c r="AY14" s="26" t="s">
        <v>291</v>
      </c>
      <c r="AZ14" s="26" t="s">
        <v>291</v>
      </c>
      <c r="BA14" s="26" t="s">
        <v>291</v>
      </c>
      <c r="BB14" s="26" t="s">
        <v>291</v>
      </c>
      <c r="BC14" s="50">
        <f t="shared" si="0"/>
        <v>3</v>
      </c>
      <c r="BD14" s="95">
        <f t="shared" si="1"/>
        <v>1</v>
      </c>
      <c r="BE14" s="127" t="s">
        <v>141</v>
      </c>
      <c r="BF14" s="129" t="s">
        <v>39</v>
      </c>
      <c r="BG14" s="133">
        <v>10</v>
      </c>
      <c r="BH14" s="133">
        <v>10</v>
      </c>
      <c r="BI14" s="130"/>
      <c r="BJ14" s="130"/>
      <c r="BK14">
        <f t="shared" si="2"/>
        <v>20</v>
      </c>
    </row>
    <row r="15" spans="1:63" ht="15.5" x14ac:dyDescent="0.35">
      <c r="A15" t="s">
        <v>142</v>
      </c>
      <c r="B15" s="14" t="s">
        <v>142</v>
      </c>
      <c r="C15" s="54" t="s">
        <v>143</v>
      </c>
      <c r="D15" s="55" t="s">
        <v>291</v>
      </c>
      <c r="E15" s="55" t="s">
        <v>291</v>
      </c>
      <c r="F15" s="55" t="s">
        <v>291</v>
      </c>
      <c r="G15" s="55" t="s">
        <v>291</v>
      </c>
      <c r="H15" s="55" t="s">
        <v>291</v>
      </c>
      <c r="I15" s="55" t="s">
        <v>291</v>
      </c>
      <c r="J15" s="55" t="s">
        <v>291</v>
      </c>
      <c r="K15" s="55" t="s">
        <v>291</v>
      </c>
      <c r="L15" s="55" t="s">
        <v>291</v>
      </c>
      <c r="M15" s="57" t="s">
        <v>291</v>
      </c>
      <c r="N15" s="55" t="s">
        <v>291</v>
      </c>
      <c r="O15" s="15" t="s">
        <v>291</v>
      </c>
      <c r="P15" s="58" t="s">
        <v>291</v>
      </c>
      <c r="Q15" s="38" t="s">
        <v>285</v>
      </c>
      <c r="R15" s="24" t="s">
        <v>291</v>
      </c>
      <c r="S15" s="24" t="s">
        <v>291</v>
      </c>
      <c r="T15" s="24" t="s">
        <v>291</v>
      </c>
      <c r="U15" s="25" t="s">
        <v>291</v>
      </c>
      <c r="V15" s="25" t="s">
        <v>291</v>
      </c>
      <c r="W15" s="42" t="s">
        <v>291</v>
      </c>
      <c r="X15" s="26" t="s">
        <v>291</v>
      </c>
      <c r="Y15" s="26" t="s">
        <v>291</v>
      </c>
      <c r="Z15" s="29" t="s">
        <v>285</v>
      </c>
      <c r="AA15" s="26" t="s">
        <v>292</v>
      </c>
      <c r="AB15" s="26" t="s">
        <v>291</v>
      </c>
      <c r="AC15" s="26" t="s">
        <v>291</v>
      </c>
      <c r="AD15" s="26" t="s">
        <v>291</v>
      </c>
      <c r="AE15" s="26" t="s">
        <v>291</v>
      </c>
      <c r="AF15" s="26" t="s">
        <v>291</v>
      </c>
      <c r="AG15" s="26" t="s">
        <v>292</v>
      </c>
      <c r="AH15" s="26" t="s">
        <v>291</v>
      </c>
      <c r="AI15" s="26" t="s">
        <v>291</v>
      </c>
      <c r="AJ15" s="26" t="s">
        <v>291</v>
      </c>
      <c r="AK15" s="26" t="s">
        <v>291</v>
      </c>
      <c r="AL15" s="26" t="s">
        <v>291</v>
      </c>
      <c r="AM15" s="26" t="s">
        <v>291</v>
      </c>
      <c r="AN15" s="26" t="s">
        <v>291</v>
      </c>
      <c r="AO15" s="26" t="s">
        <v>291</v>
      </c>
      <c r="AP15" s="26" t="s">
        <v>291</v>
      </c>
      <c r="AQ15" s="26" t="s">
        <v>291</v>
      </c>
      <c r="AR15" s="26" t="s">
        <v>291</v>
      </c>
      <c r="AS15" s="29" t="s">
        <v>285</v>
      </c>
      <c r="AT15" s="62" t="s">
        <v>291</v>
      </c>
      <c r="AU15" s="62" t="s">
        <v>291</v>
      </c>
      <c r="AV15" s="26" t="s">
        <v>291</v>
      </c>
      <c r="AW15" s="26" t="s">
        <v>291</v>
      </c>
      <c r="AX15" s="26" t="s">
        <v>291</v>
      </c>
      <c r="AY15" s="26" t="s">
        <v>291</v>
      </c>
      <c r="AZ15" s="29" t="s">
        <v>285</v>
      </c>
      <c r="BA15" s="26" t="s">
        <v>291</v>
      </c>
      <c r="BB15" s="26" t="s">
        <v>291</v>
      </c>
      <c r="BC15" s="50">
        <f t="shared" si="0"/>
        <v>4</v>
      </c>
      <c r="BD15" s="95">
        <f t="shared" si="1"/>
        <v>2</v>
      </c>
      <c r="BE15" s="127" t="s">
        <v>142</v>
      </c>
      <c r="BF15" s="129" t="s">
        <v>143</v>
      </c>
      <c r="BG15" s="133">
        <v>10</v>
      </c>
      <c r="BH15" s="133">
        <v>10</v>
      </c>
      <c r="BI15" s="130"/>
      <c r="BJ15" s="130"/>
      <c r="BK15">
        <f t="shared" si="2"/>
        <v>20</v>
      </c>
    </row>
    <row r="16" spans="1:63" ht="15.5" x14ac:dyDescent="0.35">
      <c r="A16" t="s">
        <v>144</v>
      </c>
      <c r="B16" s="22" t="s">
        <v>144</v>
      </c>
      <c r="C16" s="63" t="s">
        <v>112</v>
      </c>
      <c r="D16" s="55" t="s">
        <v>291</v>
      </c>
      <c r="E16" s="55" t="s">
        <v>291</v>
      </c>
      <c r="F16" s="55" t="s">
        <v>291</v>
      </c>
      <c r="G16" s="55" t="s">
        <v>291</v>
      </c>
      <c r="H16" s="55" t="s">
        <v>291</v>
      </c>
      <c r="I16" s="55" t="s">
        <v>291</v>
      </c>
      <c r="J16" s="55" t="s">
        <v>291</v>
      </c>
      <c r="K16" s="55" t="s">
        <v>291</v>
      </c>
      <c r="L16" s="55" t="s">
        <v>291</v>
      </c>
      <c r="M16" s="57" t="s">
        <v>291</v>
      </c>
      <c r="N16" s="55" t="s">
        <v>291</v>
      </c>
      <c r="O16" s="15" t="s">
        <v>291</v>
      </c>
      <c r="P16" s="58" t="s">
        <v>291</v>
      </c>
      <c r="Q16" s="24" t="s">
        <v>291</v>
      </c>
      <c r="R16" s="24" t="s">
        <v>291</v>
      </c>
      <c r="S16" s="24" t="s">
        <v>291</v>
      </c>
      <c r="T16" s="24" t="s">
        <v>291</v>
      </c>
      <c r="U16" s="25" t="s">
        <v>291</v>
      </c>
      <c r="V16" s="25" t="s">
        <v>291</v>
      </c>
      <c r="W16" s="42" t="s">
        <v>291</v>
      </c>
      <c r="X16" s="26" t="s">
        <v>291</v>
      </c>
      <c r="Y16" s="26" t="s">
        <v>291</v>
      </c>
      <c r="Z16" s="26" t="s">
        <v>291</v>
      </c>
      <c r="AA16" s="26" t="s">
        <v>291</v>
      </c>
      <c r="AB16" s="26" t="s">
        <v>291</v>
      </c>
      <c r="AC16" s="26" t="s">
        <v>291</v>
      </c>
      <c r="AD16" s="26" t="s">
        <v>291</v>
      </c>
      <c r="AE16" s="26" t="s">
        <v>291</v>
      </c>
      <c r="AF16" s="26" t="s">
        <v>291</v>
      </c>
      <c r="AG16" s="26" t="s">
        <v>291</v>
      </c>
      <c r="AH16" s="26" t="s">
        <v>291</v>
      </c>
      <c r="AI16" s="26" t="s">
        <v>291</v>
      </c>
      <c r="AJ16" s="26" t="s">
        <v>291</v>
      </c>
      <c r="AK16" s="26" t="s">
        <v>291</v>
      </c>
      <c r="AL16" s="26" t="s">
        <v>291</v>
      </c>
      <c r="AM16" s="26" t="s">
        <v>291</v>
      </c>
      <c r="AN16" s="26" t="s">
        <v>291</v>
      </c>
      <c r="AO16" s="26" t="s">
        <v>291</v>
      </c>
      <c r="AP16" s="26" t="s">
        <v>291</v>
      </c>
      <c r="AQ16" s="26" t="s">
        <v>291</v>
      </c>
      <c r="AR16" s="29" t="s">
        <v>285</v>
      </c>
      <c r="AS16" s="39" t="s">
        <v>291</v>
      </c>
      <c r="AT16" s="35" t="s">
        <v>291</v>
      </c>
      <c r="AU16" s="35" t="s">
        <v>291</v>
      </c>
      <c r="AV16" s="26" t="s">
        <v>291</v>
      </c>
      <c r="AW16" s="26" t="s">
        <v>291</v>
      </c>
      <c r="AX16" s="26" t="s">
        <v>291</v>
      </c>
      <c r="AY16" s="26" t="s">
        <v>291</v>
      </c>
      <c r="AZ16" s="26" t="s">
        <v>291</v>
      </c>
      <c r="BA16" s="26" t="s">
        <v>291</v>
      </c>
      <c r="BB16" s="26" t="s">
        <v>291</v>
      </c>
      <c r="BC16" s="50">
        <f t="shared" si="0"/>
        <v>1</v>
      </c>
      <c r="BD16" s="95">
        <f t="shared" si="1"/>
        <v>0</v>
      </c>
      <c r="BE16" s="2" t="s">
        <v>144</v>
      </c>
      <c r="BF16" s="141" t="s">
        <v>112</v>
      </c>
      <c r="BG16" s="133">
        <v>10</v>
      </c>
      <c r="BH16" s="133">
        <v>10</v>
      </c>
      <c r="BI16" s="130"/>
      <c r="BJ16" s="130"/>
      <c r="BK16">
        <f t="shared" si="2"/>
        <v>20</v>
      </c>
    </row>
    <row r="17" spans="1:63" ht="15.5" x14ac:dyDescent="0.35">
      <c r="A17" t="s">
        <v>145</v>
      </c>
      <c r="B17" s="14" t="s">
        <v>145</v>
      </c>
      <c r="C17" s="54" t="s">
        <v>146</v>
      </c>
      <c r="D17" s="55" t="s">
        <v>291</v>
      </c>
      <c r="E17" s="55" t="s">
        <v>291</v>
      </c>
      <c r="F17" s="55" t="s">
        <v>291</v>
      </c>
      <c r="G17" s="55" t="s">
        <v>291</v>
      </c>
      <c r="H17" s="55" t="s">
        <v>291</v>
      </c>
      <c r="I17" s="55" t="s">
        <v>291</v>
      </c>
      <c r="J17" s="55" t="s">
        <v>291</v>
      </c>
      <c r="K17" s="55" t="s">
        <v>291</v>
      </c>
      <c r="L17" s="55" t="s">
        <v>291</v>
      </c>
      <c r="M17" s="57" t="s">
        <v>291</v>
      </c>
      <c r="N17" s="55" t="s">
        <v>291</v>
      </c>
      <c r="O17" s="15" t="s">
        <v>291</v>
      </c>
      <c r="P17" s="58" t="s">
        <v>291</v>
      </c>
      <c r="Q17" s="24" t="s">
        <v>291</v>
      </c>
      <c r="R17" s="24" t="s">
        <v>291</v>
      </c>
      <c r="S17" s="24" t="s">
        <v>291</v>
      </c>
      <c r="T17" s="24" t="s">
        <v>291</v>
      </c>
      <c r="U17" s="25" t="s">
        <v>291</v>
      </c>
      <c r="V17" s="25" t="s">
        <v>291</v>
      </c>
      <c r="W17" s="42" t="s">
        <v>291</v>
      </c>
      <c r="X17" s="29" t="s">
        <v>285</v>
      </c>
      <c r="Y17" s="26" t="s">
        <v>291</v>
      </c>
      <c r="Z17" s="26" t="s">
        <v>291</v>
      </c>
      <c r="AA17" s="26" t="s">
        <v>291</v>
      </c>
      <c r="AB17" s="26" t="s">
        <v>291</v>
      </c>
      <c r="AC17" s="26" t="s">
        <v>291</v>
      </c>
      <c r="AD17" s="26" t="s">
        <v>291</v>
      </c>
      <c r="AE17" s="26" t="s">
        <v>291</v>
      </c>
      <c r="AF17" s="26" t="s">
        <v>291</v>
      </c>
      <c r="AG17" s="26" t="s">
        <v>291</v>
      </c>
      <c r="AH17" s="26" t="s">
        <v>291</v>
      </c>
      <c r="AI17" s="26" t="s">
        <v>291</v>
      </c>
      <c r="AJ17" s="29" t="s">
        <v>285</v>
      </c>
      <c r="AK17" s="26" t="s">
        <v>291</v>
      </c>
      <c r="AL17" s="26" t="s">
        <v>291</v>
      </c>
      <c r="AM17" s="26" t="s">
        <v>291</v>
      </c>
      <c r="AN17" s="29" t="s">
        <v>285</v>
      </c>
      <c r="AO17" s="26" t="s">
        <v>292</v>
      </c>
      <c r="AP17" s="26" t="s">
        <v>292</v>
      </c>
      <c r="AQ17" s="26" t="s">
        <v>291</v>
      </c>
      <c r="AR17" s="26" t="s">
        <v>291</v>
      </c>
      <c r="AS17" s="39" t="s">
        <v>291</v>
      </c>
      <c r="AT17" s="35" t="s">
        <v>292</v>
      </c>
      <c r="AU17" s="35" t="s">
        <v>291</v>
      </c>
      <c r="AV17" s="26" t="s">
        <v>291</v>
      </c>
      <c r="AW17" s="26" t="s">
        <v>291</v>
      </c>
      <c r="AX17" s="29" t="s">
        <v>285</v>
      </c>
      <c r="AY17" s="26" t="s">
        <v>291</v>
      </c>
      <c r="AZ17" s="26" t="s">
        <v>291</v>
      </c>
      <c r="BA17" s="26" t="s">
        <v>292</v>
      </c>
      <c r="BB17" s="26" t="s">
        <v>291</v>
      </c>
      <c r="BC17" s="50">
        <f t="shared" si="0"/>
        <v>4</v>
      </c>
      <c r="BD17" s="95">
        <f t="shared" si="1"/>
        <v>4</v>
      </c>
      <c r="BE17" s="127" t="s">
        <v>145</v>
      </c>
      <c r="BF17" s="129" t="s">
        <v>146</v>
      </c>
      <c r="BG17" s="133">
        <v>10</v>
      </c>
      <c r="BH17" s="133">
        <v>10</v>
      </c>
      <c r="BI17" s="130"/>
      <c r="BJ17" s="130"/>
      <c r="BK17">
        <f t="shared" si="2"/>
        <v>20</v>
      </c>
    </row>
    <row r="18" spans="1:63" ht="15.5" x14ac:dyDescent="0.35">
      <c r="A18" t="s">
        <v>147</v>
      </c>
      <c r="B18" s="14" t="s">
        <v>147</v>
      </c>
      <c r="C18" s="54" t="s">
        <v>148</v>
      </c>
      <c r="D18" s="55" t="s">
        <v>291</v>
      </c>
      <c r="E18" s="55" t="s">
        <v>291</v>
      </c>
      <c r="F18" s="55" t="s">
        <v>291</v>
      </c>
      <c r="G18" s="55" t="s">
        <v>291</v>
      </c>
      <c r="H18" s="55" t="s">
        <v>291</v>
      </c>
      <c r="I18" s="55" t="s">
        <v>291</v>
      </c>
      <c r="J18" s="55" t="s">
        <v>291</v>
      </c>
      <c r="K18" s="55" t="s">
        <v>291</v>
      </c>
      <c r="L18" s="55" t="s">
        <v>291</v>
      </c>
      <c r="M18" s="57" t="s">
        <v>291</v>
      </c>
      <c r="N18" s="55" t="s">
        <v>291</v>
      </c>
      <c r="O18" s="15" t="s">
        <v>291</v>
      </c>
      <c r="P18" s="58" t="s">
        <v>291</v>
      </c>
      <c r="Q18" s="24" t="s">
        <v>291</v>
      </c>
      <c r="R18" s="24" t="s">
        <v>291</v>
      </c>
      <c r="S18" s="24" t="s">
        <v>291</v>
      </c>
      <c r="T18" s="24" t="s">
        <v>291</v>
      </c>
      <c r="U18" s="25" t="s">
        <v>291</v>
      </c>
      <c r="V18" s="25" t="s">
        <v>291</v>
      </c>
      <c r="W18" s="42" t="s">
        <v>291</v>
      </c>
      <c r="X18" s="26" t="s">
        <v>291</v>
      </c>
      <c r="Y18" s="26" t="s">
        <v>292</v>
      </c>
      <c r="Z18" s="26" t="s">
        <v>291</v>
      </c>
      <c r="AA18" s="26" t="s">
        <v>291</v>
      </c>
      <c r="AB18" s="26" t="s">
        <v>291</v>
      </c>
      <c r="AC18" s="26" t="s">
        <v>292</v>
      </c>
      <c r="AD18" s="26" t="s">
        <v>291</v>
      </c>
      <c r="AE18" s="26" t="s">
        <v>291</v>
      </c>
      <c r="AF18" s="26" t="s">
        <v>291</v>
      </c>
      <c r="AG18" s="26" t="s">
        <v>291</v>
      </c>
      <c r="AH18" s="26" t="s">
        <v>291</v>
      </c>
      <c r="AI18" s="26" t="s">
        <v>291</v>
      </c>
      <c r="AJ18" s="26" t="s">
        <v>291</v>
      </c>
      <c r="AK18" s="26" t="s">
        <v>291</v>
      </c>
      <c r="AL18" s="26" t="s">
        <v>291</v>
      </c>
      <c r="AM18" s="26" t="s">
        <v>291</v>
      </c>
      <c r="AN18" s="26" t="s">
        <v>291</v>
      </c>
      <c r="AO18" s="26" t="s">
        <v>291</v>
      </c>
      <c r="AP18" s="26" t="s">
        <v>291</v>
      </c>
      <c r="AQ18" s="26" t="s">
        <v>291</v>
      </c>
      <c r="AR18" s="29" t="s">
        <v>285</v>
      </c>
      <c r="AS18" s="39" t="s">
        <v>291</v>
      </c>
      <c r="AT18" s="35" t="s">
        <v>291</v>
      </c>
      <c r="AU18" s="35" t="s">
        <v>291</v>
      </c>
      <c r="AV18" s="26" t="s">
        <v>291</v>
      </c>
      <c r="AW18" s="26" t="s">
        <v>291</v>
      </c>
      <c r="AX18" s="26" t="s">
        <v>291</v>
      </c>
      <c r="AY18" s="26" t="s">
        <v>291</v>
      </c>
      <c r="AZ18" s="26" t="s">
        <v>291</v>
      </c>
      <c r="BA18" s="26" t="s">
        <v>291</v>
      </c>
      <c r="BB18" s="26" t="s">
        <v>291</v>
      </c>
      <c r="BC18" s="50">
        <f t="shared" si="0"/>
        <v>1</v>
      </c>
      <c r="BD18" s="95">
        <f t="shared" si="1"/>
        <v>2</v>
      </c>
      <c r="BE18" s="127" t="s">
        <v>147</v>
      </c>
      <c r="BF18" s="129" t="s">
        <v>148</v>
      </c>
      <c r="BG18" s="133">
        <v>10</v>
      </c>
      <c r="BH18" s="133">
        <v>10</v>
      </c>
      <c r="BI18" s="130"/>
      <c r="BJ18" s="130"/>
      <c r="BK18">
        <f t="shared" si="2"/>
        <v>20</v>
      </c>
    </row>
    <row r="19" spans="1:63" ht="15.5" x14ac:dyDescent="0.35">
      <c r="A19" t="s">
        <v>149</v>
      </c>
      <c r="B19" s="14" t="s">
        <v>149</v>
      </c>
      <c r="C19" s="54" t="s">
        <v>114</v>
      </c>
      <c r="D19" s="55" t="s">
        <v>291</v>
      </c>
      <c r="E19" s="55" t="s">
        <v>291</v>
      </c>
      <c r="F19" s="55" t="s">
        <v>291</v>
      </c>
      <c r="G19" s="55" t="s">
        <v>291</v>
      </c>
      <c r="H19" s="55" t="s">
        <v>291</v>
      </c>
      <c r="I19" s="55" t="s">
        <v>291</v>
      </c>
      <c r="J19" s="55" t="s">
        <v>291</v>
      </c>
      <c r="K19" s="55" t="s">
        <v>291</v>
      </c>
      <c r="L19" s="55" t="s">
        <v>291</v>
      </c>
      <c r="M19" s="55" t="s">
        <v>291</v>
      </c>
      <c r="N19" s="55" t="s">
        <v>291</v>
      </c>
      <c r="O19" s="15" t="s">
        <v>291</v>
      </c>
      <c r="P19" s="58" t="s">
        <v>291</v>
      </c>
      <c r="Q19" s="24" t="s">
        <v>291</v>
      </c>
      <c r="R19" s="24" t="s">
        <v>291</v>
      </c>
      <c r="S19" s="24" t="s">
        <v>291</v>
      </c>
      <c r="T19" s="24" t="s">
        <v>291</v>
      </c>
      <c r="U19" s="25" t="s">
        <v>291</v>
      </c>
      <c r="V19" s="25" t="s">
        <v>291</v>
      </c>
      <c r="W19" s="42" t="s">
        <v>291</v>
      </c>
      <c r="X19" s="26" t="s">
        <v>291</v>
      </c>
      <c r="Y19" s="26" t="s">
        <v>291</v>
      </c>
      <c r="Z19" s="26" t="s">
        <v>291</v>
      </c>
      <c r="AA19" s="26" t="s">
        <v>291</v>
      </c>
      <c r="AB19" s="26" t="s">
        <v>291</v>
      </c>
      <c r="AC19" s="26" t="s">
        <v>291</v>
      </c>
      <c r="AD19" s="26" t="s">
        <v>291</v>
      </c>
      <c r="AE19" s="26" t="s">
        <v>291</v>
      </c>
      <c r="AF19" s="26" t="s">
        <v>291</v>
      </c>
      <c r="AG19" s="26" t="s">
        <v>291</v>
      </c>
      <c r="AH19" s="26" t="s">
        <v>291</v>
      </c>
      <c r="AI19" s="26" t="s">
        <v>291</v>
      </c>
      <c r="AJ19" s="26" t="s">
        <v>291</v>
      </c>
      <c r="AK19" s="26" t="s">
        <v>291</v>
      </c>
      <c r="AL19" s="26" t="s">
        <v>291</v>
      </c>
      <c r="AM19" s="26" t="s">
        <v>291</v>
      </c>
      <c r="AN19" s="26" t="s">
        <v>291</v>
      </c>
      <c r="AO19" s="26" t="s">
        <v>291</v>
      </c>
      <c r="AP19" s="26" t="s">
        <v>291</v>
      </c>
      <c r="AQ19" s="26" t="s">
        <v>291</v>
      </c>
      <c r="AR19" s="26" t="s">
        <v>291</v>
      </c>
      <c r="AS19" s="39" t="s">
        <v>291</v>
      </c>
      <c r="AT19" s="35" t="s">
        <v>291</v>
      </c>
      <c r="AU19" s="35" t="s">
        <v>291</v>
      </c>
      <c r="AV19" s="26" t="s">
        <v>291</v>
      </c>
      <c r="AW19" s="26" t="s">
        <v>291</v>
      </c>
      <c r="AX19" s="26" t="s">
        <v>291</v>
      </c>
      <c r="AY19" s="26" t="s">
        <v>291</v>
      </c>
      <c r="AZ19" s="26" t="s">
        <v>291</v>
      </c>
      <c r="BA19" s="26" t="s">
        <v>291</v>
      </c>
      <c r="BB19" s="26" t="s">
        <v>291</v>
      </c>
      <c r="BC19" s="50">
        <f t="shared" si="0"/>
        <v>0</v>
      </c>
      <c r="BD19" s="95">
        <f t="shared" si="1"/>
        <v>0</v>
      </c>
      <c r="BE19" s="127" t="s">
        <v>149</v>
      </c>
      <c r="BF19" s="129" t="s">
        <v>114</v>
      </c>
      <c r="BG19" s="133">
        <v>10</v>
      </c>
      <c r="BH19" s="133">
        <v>10</v>
      </c>
      <c r="BI19" s="130"/>
      <c r="BJ19" s="130"/>
      <c r="BK19">
        <f t="shared" si="2"/>
        <v>20</v>
      </c>
    </row>
    <row r="20" spans="1:63" ht="15.5" x14ac:dyDescent="0.35">
      <c r="A20" t="s">
        <v>151</v>
      </c>
      <c r="B20" s="14" t="s">
        <v>151</v>
      </c>
      <c r="C20" s="54" t="s">
        <v>46</v>
      </c>
      <c r="D20" s="55" t="s">
        <v>291</v>
      </c>
      <c r="E20" s="55" t="s">
        <v>291</v>
      </c>
      <c r="F20" s="55" t="s">
        <v>291</v>
      </c>
      <c r="G20" s="55" t="s">
        <v>291</v>
      </c>
      <c r="H20" s="55" t="s">
        <v>291</v>
      </c>
      <c r="I20" s="55" t="s">
        <v>291</v>
      </c>
      <c r="J20" s="55" t="s">
        <v>291</v>
      </c>
      <c r="K20" s="55" t="s">
        <v>291</v>
      </c>
      <c r="L20" s="55" t="s">
        <v>291</v>
      </c>
      <c r="M20" s="55" t="s">
        <v>291</v>
      </c>
      <c r="N20" s="55" t="s">
        <v>291</v>
      </c>
      <c r="O20" s="32" t="s">
        <v>285</v>
      </c>
      <c r="P20" s="58" t="s">
        <v>291</v>
      </c>
      <c r="Q20" s="24" t="s">
        <v>291</v>
      </c>
      <c r="R20" s="24" t="s">
        <v>291</v>
      </c>
      <c r="S20" s="24" t="s">
        <v>291</v>
      </c>
      <c r="T20" s="24" t="s">
        <v>291</v>
      </c>
      <c r="U20" s="60" t="s">
        <v>285</v>
      </c>
      <c r="V20" s="25" t="s">
        <v>291</v>
      </c>
      <c r="W20" s="42" t="s">
        <v>291</v>
      </c>
      <c r="X20" s="26" t="s">
        <v>292</v>
      </c>
      <c r="Y20" s="26" t="s">
        <v>291</v>
      </c>
      <c r="Z20" s="26" t="s">
        <v>291</v>
      </c>
      <c r="AA20" s="29" t="s">
        <v>285</v>
      </c>
      <c r="AB20" s="26" t="s">
        <v>291</v>
      </c>
      <c r="AC20" s="26" t="s">
        <v>291</v>
      </c>
      <c r="AD20" s="26" t="s">
        <v>291</v>
      </c>
      <c r="AE20" s="26" t="s">
        <v>291</v>
      </c>
      <c r="AF20" s="26" t="s">
        <v>291</v>
      </c>
      <c r="AG20" s="26" t="s">
        <v>291</v>
      </c>
      <c r="AH20" s="26" t="s">
        <v>291</v>
      </c>
      <c r="AI20" s="26" t="s">
        <v>291</v>
      </c>
      <c r="AJ20" s="26" t="s">
        <v>291</v>
      </c>
      <c r="AK20" s="26" t="s">
        <v>291</v>
      </c>
      <c r="AL20" s="26" t="s">
        <v>291</v>
      </c>
      <c r="AM20" s="29" t="s">
        <v>285</v>
      </c>
      <c r="AN20" s="26" t="s">
        <v>291</v>
      </c>
      <c r="AO20" s="29" t="s">
        <v>285</v>
      </c>
      <c r="AP20" s="26" t="s">
        <v>291</v>
      </c>
      <c r="AQ20" s="26" t="s">
        <v>291</v>
      </c>
      <c r="AR20" s="26" t="s">
        <v>291</v>
      </c>
      <c r="AS20" s="29" t="s">
        <v>285</v>
      </c>
      <c r="AT20" s="20" t="s">
        <v>291</v>
      </c>
      <c r="AU20" s="20" t="s">
        <v>291</v>
      </c>
      <c r="AV20" s="26" t="s">
        <v>291</v>
      </c>
      <c r="AW20" s="26" t="s">
        <v>291</v>
      </c>
      <c r="AX20" s="26" t="s">
        <v>291</v>
      </c>
      <c r="AY20" s="26" t="s">
        <v>291</v>
      </c>
      <c r="AZ20" s="26" t="s">
        <v>291</v>
      </c>
      <c r="BA20" s="26" t="s">
        <v>291</v>
      </c>
      <c r="BB20" s="26" t="s">
        <v>291</v>
      </c>
      <c r="BC20" s="50">
        <f t="shared" si="0"/>
        <v>6</v>
      </c>
      <c r="BD20" s="95">
        <f t="shared" si="1"/>
        <v>1</v>
      </c>
      <c r="BE20" s="127" t="s">
        <v>151</v>
      </c>
      <c r="BF20" s="129" t="s">
        <v>46</v>
      </c>
      <c r="BG20" s="133">
        <v>10</v>
      </c>
      <c r="BH20" s="133">
        <v>10</v>
      </c>
      <c r="BI20" s="130"/>
      <c r="BJ20" s="130"/>
      <c r="BK20">
        <f t="shared" si="2"/>
        <v>20</v>
      </c>
    </row>
    <row r="21" spans="1:63" ht="15.5" x14ac:dyDescent="0.35">
      <c r="A21" t="s">
        <v>56</v>
      </c>
      <c r="B21" s="14" t="s">
        <v>56</v>
      </c>
      <c r="C21" s="54" t="s">
        <v>152</v>
      </c>
      <c r="D21" s="55" t="s">
        <v>291</v>
      </c>
      <c r="E21" s="55" t="s">
        <v>291</v>
      </c>
      <c r="F21" s="55" t="s">
        <v>291</v>
      </c>
      <c r="G21" s="55" t="s">
        <v>291</v>
      </c>
      <c r="H21" s="55" t="s">
        <v>291</v>
      </c>
      <c r="I21" s="55" t="s">
        <v>291</v>
      </c>
      <c r="J21" s="55" t="s">
        <v>291</v>
      </c>
      <c r="K21" s="55" t="s">
        <v>291</v>
      </c>
      <c r="L21" s="55" t="s">
        <v>291</v>
      </c>
      <c r="M21" s="57" t="s">
        <v>291</v>
      </c>
      <c r="N21" s="55" t="s">
        <v>291</v>
      </c>
      <c r="O21" s="15" t="s">
        <v>291</v>
      </c>
      <c r="P21" s="58" t="s">
        <v>291</v>
      </c>
      <c r="Q21" s="24" t="s">
        <v>291</v>
      </c>
      <c r="R21" s="24" t="s">
        <v>291</v>
      </c>
      <c r="S21" s="24" t="s">
        <v>291</v>
      </c>
      <c r="T21" s="24" t="s">
        <v>291</v>
      </c>
      <c r="U21" s="25" t="s">
        <v>291</v>
      </c>
      <c r="V21" s="25" t="s">
        <v>291</v>
      </c>
      <c r="W21" s="42" t="s">
        <v>291</v>
      </c>
      <c r="X21" s="26" t="s">
        <v>291</v>
      </c>
      <c r="Y21" s="26" t="s">
        <v>291</v>
      </c>
      <c r="Z21" s="26" t="s">
        <v>291</v>
      </c>
      <c r="AA21" s="26" t="s">
        <v>291</v>
      </c>
      <c r="AB21" s="26" t="s">
        <v>291</v>
      </c>
      <c r="AC21" s="26" t="s">
        <v>291</v>
      </c>
      <c r="AD21" s="26" t="s">
        <v>291</v>
      </c>
      <c r="AE21" s="26" t="s">
        <v>291</v>
      </c>
      <c r="AF21" s="26" t="s">
        <v>291</v>
      </c>
      <c r="AG21" s="26" t="s">
        <v>291</v>
      </c>
      <c r="AH21" s="26" t="s">
        <v>291</v>
      </c>
      <c r="AI21" s="26" t="s">
        <v>291</v>
      </c>
      <c r="AJ21" s="26" t="s">
        <v>291</v>
      </c>
      <c r="AK21" s="26" t="s">
        <v>291</v>
      </c>
      <c r="AL21" s="26" t="s">
        <v>291</v>
      </c>
      <c r="AM21" s="26" t="s">
        <v>291</v>
      </c>
      <c r="AN21" s="26" t="s">
        <v>291</v>
      </c>
      <c r="AO21" s="26" t="s">
        <v>291</v>
      </c>
      <c r="AP21" s="26" t="s">
        <v>291</v>
      </c>
      <c r="AQ21" s="26" t="s">
        <v>291</v>
      </c>
      <c r="AR21" s="26" t="s">
        <v>291</v>
      </c>
      <c r="AS21" s="29" t="s">
        <v>285</v>
      </c>
      <c r="AT21" s="26" t="s">
        <v>291</v>
      </c>
      <c r="AU21" s="26" t="s">
        <v>291</v>
      </c>
      <c r="AV21" s="26" t="s">
        <v>291</v>
      </c>
      <c r="AW21" s="26" t="s">
        <v>291</v>
      </c>
      <c r="AX21" s="26" t="s">
        <v>291</v>
      </c>
      <c r="AY21" s="26" t="s">
        <v>291</v>
      </c>
      <c r="AZ21" s="26" t="s">
        <v>291</v>
      </c>
      <c r="BA21" s="26" t="s">
        <v>291</v>
      </c>
      <c r="BB21" s="26" t="s">
        <v>291</v>
      </c>
      <c r="BC21" s="50">
        <f t="shared" si="0"/>
        <v>1</v>
      </c>
      <c r="BD21" s="95">
        <f t="shared" si="1"/>
        <v>0</v>
      </c>
      <c r="BE21" s="127" t="s">
        <v>56</v>
      </c>
      <c r="BF21" s="129" t="s">
        <v>152</v>
      </c>
      <c r="BG21" s="133">
        <v>10</v>
      </c>
      <c r="BH21" s="133">
        <v>10</v>
      </c>
      <c r="BI21" s="130"/>
      <c r="BJ21" s="130"/>
      <c r="BK21">
        <f t="shared" si="2"/>
        <v>20</v>
      </c>
    </row>
    <row r="22" spans="1:63" ht="15.5" x14ac:dyDescent="0.35">
      <c r="A22" t="s">
        <v>135</v>
      </c>
      <c r="B22" s="14" t="s">
        <v>135</v>
      </c>
      <c r="C22" s="54" t="s">
        <v>119</v>
      </c>
      <c r="D22" s="55" t="s">
        <v>291</v>
      </c>
      <c r="E22" s="55" t="s">
        <v>291</v>
      </c>
      <c r="F22" s="55" t="s">
        <v>291</v>
      </c>
      <c r="G22" s="55" t="s">
        <v>291</v>
      </c>
      <c r="H22" s="55" t="s">
        <v>291</v>
      </c>
      <c r="I22" s="55" t="s">
        <v>291</v>
      </c>
      <c r="J22" s="55" t="s">
        <v>291</v>
      </c>
      <c r="K22" s="55" t="s">
        <v>291</v>
      </c>
      <c r="L22" s="55" t="s">
        <v>291</v>
      </c>
      <c r="M22" s="57" t="s">
        <v>291</v>
      </c>
      <c r="N22" s="55" t="s">
        <v>291</v>
      </c>
      <c r="O22" s="15" t="s">
        <v>291</v>
      </c>
      <c r="P22" s="58" t="s">
        <v>291</v>
      </c>
      <c r="Q22" s="24" t="s">
        <v>291</v>
      </c>
      <c r="R22" s="24" t="s">
        <v>291</v>
      </c>
      <c r="S22" s="24" t="s">
        <v>291</v>
      </c>
      <c r="T22" s="24" t="s">
        <v>291</v>
      </c>
      <c r="U22" s="25" t="s">
        <v>291</v>
      </c>
      <c r="V22" s="25" t="s">
        <v>291</v>
      </c>
      <c r="W22" s="42" t="s">
        <v>291</v>
      </c>
      <c r="X22" s="26" t="s">
        <v>291</v>
      </c>
      <c r="Y22" s="26" t="s">
        <v>291</v>
      </c>
      <c r="Z22" s="26" t="s">
        <v>291</v>
      </c>
      <c r="AA22" s="26" t="s">
        <v>291</v>
      </c>
      <c r="AB22" s="26" t="s">
        <v>291</v>
      </c>
      <c r="AC22" s="26" t="s">
        <v>291</v>
      </c>
      <c r="AD22" s="26" t="s">
        <v>291</v>
      </c>
      <c r="AE22" s="26" t="s">
        <v>291</v>
      </c>
      <c r="AF22" s="26" t="s">
        <v>291</v>
      </c>
      <c r="AG22" s="26" t="s">
        <v>291</v>
      </c>
      <c r="AH22" s="26" t="s">
        <v>291</v>
      </c>
      <c r="AI22" s="26" t="s">
        <v>291</v>
      </c>
      <c r="AJ22" s="26" t="s">
        <v>291</v>
      </c>
      <c r="AK22" s="26" t="s">
        <v>291</v>
      </c>
      <c r="AL22" s="26" t="s">
        <v>291</v>
      </c>
      <c r="AM22" s="26" t="s">
        <v>291</v>
      </c>
      <c r="AN22" s="26" t="s">
        <v>291</v>
      </c>
      <c r="AO22" s="26" t="s">
        <v>291</v>
      </c>
      <c r="AP22" s="26" t="s">
        <v>291</v>
      </c>
      <c r="AQ22" s="26" t="s">
        <v>291</v>
      </c>
      <c r="AR22" s="26" t="s">
        <v>291</v>
      </c>
      <c r="AS22" s="26" t="s">
        <v>291</v>
      </c>
      <c r="AT22" s="26" t="s">
        <v>291</v>
      </c>
      <c r="AU22" s="26" t="s">
        <v>291</v>
      </c>
      <c r="AV22" s="26" t="s">
        <v>291</v>
      </c>
      <c r="AW22" s="26" t="s">
        <v>291</v>
      </c>
      <c r="AX22" s="26" t="s">
        <v>291</v>
      </c>
      <c r="AY22" s="26" t="s">
        <v>291</v>
      </c>
      <c r="AZ22" s="26" t="s">
        <v>291</v>
      </c>
      <c r="BA22" s="26" t="s">
        <v>291</v>
      </c>
      <c r="BB22" s="26" t="s">
        <v>291</v>
      </c>
      <c r="BC22" s="50">
        <f t="shared" si="0"/>
        <v>0</v>
      </c>
      <c r="BD22" s="95">
        <f t="shared" si="1"/>
        <v>0</v>
      </c>
      <c r="BE22" s="127" t="s">
        <v>135</v>
      </c>
      <c r="BF22" s="129" t="s">
        <v>119</v>
      </c>
      <c r="BG22" s="133">
        <v>10</v>
      </c>
      <c r="BH22" s="133">
        <v>10</v>
      </c>
      <c r="BI22" s="130"/>
      <c r="BJ22" s="130"/>
      <c r="BK22">
        <f t="shared" si="2"/>
        <v>20</v>
      </c>
    </row>
    <row r="23" spans="1:63" ht="15.5" x14ac:dyDescent="0.35">
      <c r="A23" t="s">
        <v>153</v>
      </c>
      <c r="B23" s="14" t="s">
        <v>153</v>
      </c>
      <c r="C23" s="54" t="s">
        <v>154</v>
      </c>
      <c r="D23" s="55" t="s">
        <v>291</v>
      </c>
      <c r="E23" s="55" t="s">
        <v>291</v>
      </c>
      <c r="F23" s="55" t="s">
        <v>291</v>
      </c>
      <c r="G23" s="55" t="s">
        <v>291</v>
      </c>
      <c r="H23" s="55" t="s">
        <v>291</v>
      </c>
      <c r="I23" s="55" t="s">
        <v>291</v>
      </c>
      <c r="J23" s="55" t="s">
        <v>292</v>
      </c>
      <c r="K23" s="55" t="s">
        <v>292</v>
      </c>
      <c r="L23" s="55" t="s">
        <v>291</v>
      </c>
      <c r="M23" s="57" t="s">
        <v>291</v>
      </c>
      <c r="N23" s="55" t="s">
        <v>291</v>
      </c>
      <c r="O23" s="32" t="s">
        <v>285</v>
      </c>
      <c r="P23" s="58" t="s">
        <v>291</v>
      </c>
      <c r="Q23" s="24" t="s">
        <v>291</v>
      </c>
      <c r="R23" s="24" t="s">
        <v>291</v>
      </c>
      <c r="S23" s="24" t="s">
        <v>291</v>
      </c>
      <c r="T23" s="24" t="s">
        <v>291</v>
      </c>
      <c r="U23" s="25" t="s">
        <v>291</v>
      </c>
      <c r="V23" s="25" t="s">
        <v>291</v>
      </c>
      <c r="W23" s="42" t="s">
        <v>291</v>
      </c>
      <c r="X23" s="26" t="s">
        <v>291</v>
      </c>
      <c r="Y23" s="26" t="s">
        <v>292</v>
      </c>
      <c r="Z23" s="26" t="s">
        <v>291</v>
      </c>
      <c r="AA23" s="26" t="s">
        <v>291</v>
      </c>
      <c r="AB23" s="29" t="s">
        <v>285</v>
      </c>
      <c r="AC23" s="26" t="s">
        <v>292</v>
      </c>
      <c r="AD23" s="29" t="s">
        <v>285</v>
      </c>
      <c r="AE23" s="26" t="s">
        <v>291</v>
      </c>
      <c r="AF23" s="26" t="s">
        <v>291</v>
      </c>
      <c r="AG23" s="26" t="s">
        <v>292</v>
      </c>
      <c r="AH23" s="26" t="s">
        <v>291</v>
      </c>
      <c r="AI23" s="26" t="s">
        <v>291</v>
      </c>
      <c r="AJ23" s="26" t="s">
        <v>291</v>
      </c>
      <c r="AK23" s="26" t="s">
        <v>292</v>
      </c>
      <c r="AL23" s="26" t="s">
        <v>291</v>
      </c>
      <c r="AM23" s="26" t="s">
        <v>291</v>
      </c>
      <c r="AN23" s="26" t="s">
        <v>291</v>
      </c>
      <c r="AO23" s="29" t="s">
        <v>285</v>
      </c>
      <c r="AP23" s="26" t="s">
        <v>291</v>
      </c>
      <c r="AQ23" s="26" t="s">
        <v>292</v>
      </c>
      <c r="AR23" s="26" t="s">
        <v>292</v>
      </c>
      <c r="AS23" s="29" t="s">
        <v>285</v>
      </c>
      <c r="AT23" s="29" t="s">
        <v>285</v>
      </c>
      <c r="AU23" s="26" t="s">
        <v>292</v>
      </c>
      <c r="AV23" s="26" t="s">
        <v>292</v>
      </c>
      <c r="AW23" s="26" t="s">
        <v>292</v>
      </c>
      <c r="AX23" s="26" t="s">
        <v>292</v>
      </c>
      <c r="AY23" s="26" t="s">
        <v>291</v>
      </c>
      <c r="AZ23" s="26" t="s">
        <v>292</v>
      </c>
      <c r="BA23" s="26" t="s">
        <v>291</v>
      </c>
      <c r="BB23" s="26" t="s">
        <v>291</v>
      </c>
      <c r="BC23" s="50">
        <f t="shared" si="0"/>
        <v>6</v>
      </c>
      <c r="BD23" s="95">
        <f t="shared" si="1"/>
        <v>13</v>
      </c>
      <c r="BE23" s="127" t="s">
        <v>153</v>
      </c>
      <c r="BF23" s="129" t="s">
        <v>154</v>
      </c>
      <c r="BG23" s="130"/>
      <c r="BH23" s="130"/>
      <c r="BI23" s="130"/>
      <c r="BJ23" s="130"/>
      <c r="BK23">
        <f t="shared" si="2"/>
        <v>40</v>
      </c>
    </row>
    <row r="24" spans="1:63" ht="15.5" x14ac:dyDescent="0.35">
      <c r="A24" t="s">
        <v>155</v>
      </c>
      <c r="B24" s="14" t="s">
        <v>155</v>
      </c>
      <c r="C24" s="54" t="s">
        <v>53</v>
      </c>
      <c r="D24" s="55" t="s">
        <v>291</v>
      </c>
      <c r="E24" s="55" t="s">
        <v>291</v>
      </c>
      <c r="F24" s="55" t="s">
        <v>291</v>
      </c>
      <c r="G24" s="55" t="s">
        <v>291</v>
      </c>
      <c r="H24" s="55" t="s">
        <v>291</v>
      </c>
      <c r="I24" s="55" t="s">
        <v>291</v>
      </c>
      <c r="J24" s="55" t="s">
        <v>291</v>
      </c>
      <c r="K24" s="56" t="s">
        <v>285</v>
      </c>
      <c r="L24" s="55" t="s">
        <v>291</v>
      </c>
      <c r="M24" s="57" t="s">
        <v>291</v>
      </c>
      <c r="N24" s="55" t="s">
        <v>291</v>
      </c>
      <c r="O24" s="15" t="s">
        <v>291</v>
      </c>
      <c r="P24" s="58" t="s">
        <v>291</v>
      </c>
      <c r="Q24" s="24" t="s">
        <v>292</v>
      </c>
      <c r="R24" s="24" t="s">
        <v>291</v>
      </c>
      <c r="S24" s="24" t="s">
        <v>291</v>
      </c>
      <c r="T24" s="24" t="s">
        <v>291</v>
      </c>
      <c r="U24" s="25" t="s">
        <v>291</v>
      </c>
      <c r="V24" s="25" t="s">
        <v>291</v>
      </c>
      <c r="W24" s="42" t="s">
        <v>291</v>
      </c>
      <c r="X24" s="26" t="s">
        <v>291</v>
      </c>
      <c r="Y24" s="26" t="s">
        <v>291</v>
      </c>
      <c r="Z24" s="29" t="s">
        <v>285</v>
      </c>
      <c r="AA24" s="26" t="s">
        <v>291</v>
      </c>
      <c r="AB24" s="26" t="s">
        <v>291</v>
      </c>
      <c r="AC24" s="26" t="s">
        <v>291</v>
      </c>
      <c r="AD24" s="26" t="s">
        <v>291</v>
      </c>
      <c r="AE24" s="29" t="s">
        <v>285</v>
      </c>
      <c r="AF24" s="26" t="s">
        <v>291</v>
      </c>
      <c r="AG24" s="26" t="s">
        <v>292</v>
      </c>
      <c r="AH24" s="26" t="s">
        <v>291</v>
      </c>
      <c r="AI24" s="26" t="s">
        <v>291</v>
      </c>
      <c r="AJ24" s="26" t="s">
        <v>291</v>
      </c>
      <c r="AK24" s="26" t="s">
        <v>291</v>
      </c>
      <c r="AL24" s="26" t="s">
        <v>291</v>
      </c>
      <c r="AM24" s="26" t="s">
        <v>291</v>
      </c>
      <c r="AN24" s="26" t="s">
        <v>291</v>
      </c>
      <c r="AO24" s="26" t="s">
        <v>291</v>
      </c>
      <c r="AP24" s="26" t="s">
        <v>291</v>
      </c>
      <c r="AQ24" s="26" t="s">
        <v>291</v>
      </c>
      <c r="AR24" s="26" t="s">
        <v>291</v>
      </c>
      <c r="AS24" s="29" t="s">
        <v>285</v>
      </c>
      <c r="AT24" s="29" t="s">
        <v>285</v>
      </c>
      <c r="AU24" s="26" t="s">
        <v>291</v>
      </c>
      <c r="AV24" s="29" t="s">
        <v>285</v>
      </c>
      <c r="AW24" s="26" t="s">
        <v>291</v>
      </c>
      <c r="AX24" s="26" t="s">
        <v>291</v>
      </c>
      <c r="AY24" s="26" t="s">
        <v>291</v>
      </c>
      <c r="AZ24" s="26" t="s">
        <v>291</v>
      </c>
      <c r="BA24" s="26" t="s">
        <v>291</v>
      </c>
      <c r="BB24" s="26" t="s">
        <v>291</v>
      </c>
      <c r="BC24" s="50">
        <f t="shared" si="0"/>
        <v>6</v>
      </c>
      <c r="BD24" s="95">
        <f t="shared" si="1"/>
        <v>2</v>
      </c>
      <c r="BE24" s="127" t="s">
        <v>155</v>
      </c>
      <c r="BF24" s="129" t="s">
        <v>53</v>
      </c>
      <c r="BG24" s="133">
        <v>10</v>
      </c>
      <c r="BH24" s="133">
        <v>10</v>
      </c>
      <c r="BI24" s="130"/>
      <c r="BJ24" s="130"/>
      <c r="BK24">
        <f t="shared" si="2"/>
        <v>20</v>
      </c>
    </row>
    <row r="25" spans="1:63" ht="15.5" x14ac:dyDescent="0.35">
      <c r="A25" t="s">
        <v>156</v>
      </c>
      <c r="B25" s="36" t="s">
        <v>156</v>
      </c>
      <c r="C25" s="64" t="s">
        <v>157</v>
      </c>
      <c r="D25" s="55" t="s">
        <v>291</v>
      </c>
      <c r="E25" s="55" t="s">
        <v>291</v>
      </c>
      <c r="F25" s="55" t="s">
        <v>291</v>
      </c>
      <c r="G25" s="55" t="s">
        <v>291</v>
      </c>
      <c r="H25" s="55" t="s">
        <v>291</v>
      </c>
      <c r="I25" s="55" t="s">
        <v>291</v>
      </c>
      <c r="J25" s="55" t="s">
        <v>291</v>
      </c>
      <c r="K25" s="55" t="s">
        <v>291</v>
      </c>
      <c r="L25" s="55" t="s">
        <v>291</v>
      </c>
      <c r="M25" s="57" t="s">
        <v>291</v>
      </c>
      <c r="N25" s="55" t="s">
        <v>291</v>
      </c>
      <c r="O25" s="15" t="s">
        <v>291</v>
      </c>
      <c r="P25" s="58" t="s">
        <v>291</v>
      </c>
      <c r="Q25" s="24" t="s">
        <v>291</v>
      </c>
      <c r="R25" s="24" t="s">
        <v>291</v>
      </c>
      <c r="S25" s="24" t="s">
        <v>291</v>
      </c>
      <c r="T25" s="24" t="s">
        <v>291</v>
      </c>
      <c r="U25" s="25" t="s">
        <v>291</v>
      </c>
      <c r="V25" s="25" t="s">
        <v>291</v>
      </c>
      <c r="W25" s="42" t="s">
        <v>291</v>
      </c>
      <c r="X25" s="26" t="s">
        <v>291</v>
      </c>
      <c r="Y25" s="26" t="s">
        <v>291</v>
      </c>
      <c r="Z25" s="26" t="s">
        <v>291</v>
      </c>
      <c r="AA25" s="26" t="s">
        <v>291</v>
      </c>
      <c r="AB25" s="26" t="s">
        <v>291</v>
      </c>
      <c r="AC25" s="26" t="s">
        <v>292</v>
      </c>
      <c r="AD25" s="26" t="s">
        <v>291</v>
      </c>
      <c r="AE25" s="26" t="s">
        <v>291</v>
      </c>
      <c r="AF25" s="26" t="s">
        <v>291</v>
      </c>
      <c r="AG25" s="26" t="s">
        <v>292</v>
      </c>
      <c r="AH25" s="26" t="s">
        <v>291</v>
      </c>
      <c r="AI25" s="26" t="s">
        <v>291</v>
      </c>
      <c r="AJ25" s="26" t="s">
        <v>291</v>
      </c>
      <c r="AK25" s="26" t="s">
        <v>291</v>
      </c>
      <c r="AL25" s="26" t="s">
        <v>291</v>
      </c>
      <c r="AM25" s="29" t="s">
        <v>285</v>
      </c>
      <c r="AN25" s="26" t="s">
        <v>291</v>
      </c>
      <c r="AO25" s="26" t="s">
        <v>291</v>
      </c>
      <c r="AP25" s="26" t="s">
        <v>291</v>
      </c>
      <c r="AQ25" s="26" t="s">
        <v>291</v>
      </c>
      <c r="AR25" s="26" t="s">
        <v>292</v>
      </c>
      <c r="AS25" s="26" t="s">
        <v>291</v>
      </c>
      <c r="AT25" s="26" t="s">
        <v>291</v>
      </c>
      <c r="AU25" s="26" t="s">
        <v>292</v>
      </c>
      <c r="AV25" s="26" t="s">
        <v>291</v>
      </c>
      <c r="AW25" s="26" t="s">
        <v>291</v>
      </c>
      <c r="AX25" s="29" t="s">
        <v>285</v>
      </c>
      <c r="AY25" s="29" t="s">
        <v>285</v>
      </c>
      <c r="AZ25" s="26" t="s">
        <v>291</v>
      </c>
      <c r="BA25" s="26" t="s">
        <v>291</v>
      </c>
      <c r="BB25" s="26" t="s">
        <v>291</v>
      </c>
      <c r="BC25" s="50">
        <f t="shared" si="0"/>
        <v>3</v>
      </c>
      <c r="BD25" s="95">
        <f t="shared" si="1"/>
        <v>4</v>
      </c>
      <c r="BE25" s="128" t="s">
        <v>156</v>
      </c>
      <c r="BF25" s="142" t="s">
        <v>157</v>
      </c>
      <c r="BG25" s="133">
        <v>10</v>
      </c>
      <c r="BH25" s="133">
        <v>10</v>
      </c>
      <c r="BI25" s="130"/>
      <c r="BJ25" s="130"/>
      <c r="BK25">
        <f t="shared" si="2"/>
        <v>20</v>
      </c>
    </row>
    <row r="26" spans="1:63" ht="15.5" x14ac:dyDescent="0.35">
      <c r="A26" t="s">
        <v>158</v>
      </c>
      <c r="B26" s="36" t="s">
        <v>158</v>
      </c>
      <c r="C26" s="64" t="s">
        <v>159</v>
      </c>
      <c r="D26" s="55" t="s">
        <v>291</v>
      </c>
      <c r="E26" s="55" t="s">
        <v>291</v>
      </c>
      <c r="F26" s="55" t="s">
        <v>291</v>
      </c>
      <c r="G26" s="55" t="s">
        <v>291</v>
      </c>
      <c r="H26" s="55" t="s">
        <v>291</v>
      </c>
      <c r="I26" s="55" t="s">
        <v>291</v>
      </c>
      <c r="J26" s="55" t="s">
        <v>291</v>
      </c>
      <c r="K26" s="55" t="s">
        <v>291</v>
      </c>
      <c r="L26" s="55" t="s">
        <v>291</v>
      </c>
      <c r="M26" s="57" t="s">
        <v>291</v>
      </c>
      <c r="N26" s="55" t="s">
        <v>291</v>
      </c>
      <c r="O26" s="15" t="s">
        <v>291</v>
      </c>
      <c r="P26" s="58" t="s">
        <v>291</v>
      </c>
      <c r="Q26" s="24" t="s">
        <v>291</v>
      </c>
      <c r="R26" s="24" t="s">
        <v>291</v>
      </c>
      <c r="S26" s="24" t="s">
        <v>291</v>
      </c>
      <c r="T26" s="24" t="s">
        <v>291</v>
      </c>
      <c r="U26" s="25" t="s">
        <v>291</v>
      </c>
      <c r="V26" s="25" t="s">
        <v>291</v>
      </c>
      <c r="W26" s="42" t="s">
        <v>291</v>
      </c>
      <c r="X26" s="26" t="s">
        <v>291</v>
      </c>
      <c r="Y26" s="26" t="s">
        <v>291</v>
      </c>
      <c r="Z26" s="26" t="s">
        <v>291</v>
      </c>
      <c r="AA26" s="26" t="s">
        <v>291</v>
      </c>
      <c r="AB26" s="26" t="s">
        <v>291</v>
      </c>
      <c r="AC26" s="26" t="s">
        <v>291</v>
      </c>
      <c r="AD26" s="26" t="s">
        <v>291</v>
      </c>
      <c r="AE26" s="26" t="s">
        <v>291</v>
      </c>
      <c r="AF26" s="26" t="s">
        <v>291</v>
      </c>
      <c r="AG26" s="26" t="s">
        <v>291</v>
      </c>
      <c r="AH26" s="26" t="s">
        <v>291</v>
      </c>
      <c r="AI26" s="26" t="s">
        <v>291</v>
      </c>
      <c r="AJ26" s="26" t="s">
        <v>291</v>
      </c>
      <c r="AK26" s="26" t="s">
        <v>291</v>
      </c>
      <c r="AL26" s="26" t="s">
        <v>291</v>
      </c>
      <c r="AM26" s="26" t="s">
        <v>291</v>
      </c>
      <c r="AN26" s="26" t="s">
        <v>291</v>
      </c>
      <c r="AO26" s="26" t="s">
        <v>291</v>
      </c>
      <c r="AP26" s="26" t="s">
        <v>291</v>
      </c>
      <c r="AQ26" s="26" t="s">
        <v>291</v>
      </c>
      <c r="AR26" s="26" t="s">
        <v>291</v>
      </c>
      <c r="AS26" s="26" t="s">
        <v>291</v>
      </c>
      <c r="AT26" s="26" t="s">
        <v>291</v>
      </c>
      <c r="AU26" s="26" t="s">
        <v>291</v>
      </c>
      <c r="AV26" s="26" t="s">
        <v>291</v>
      </c>
      <c r="AW26" s="26" t="s">
        <v>291</v>
      </c>
      <c r="AX26" s="26" t="s">
        <v>291</v>
      </c>
      <c r="AY26" s="26" t="s">
        <v>291</v>
      </c>
      <c r="AZ26" s="26" t="s">
        <v>291</v>
      </c>
      <c r="BA26" s="26" t="s">
        <v>291</v>
      </c>
      <c r="BB26" s="26" t="s">
        <v>291</v>
      </c>
      <c r="BC26" s="50">
        <f t="shared" si="0"/>
        <v>0</v>
      </c>
      <c r="BD26" s="95">
        <f t="shared" si="1"/>
        <v>0</v>
      </c>
      <c r="BE26" s="128" t="s">
        <v>158</v>
      </c>
      <c r="BF26" s="142" t="s">
        <v>159</v>
      </c>
      <c r="BG26" s="133">
        <v>10</v>
      </c>
      <c r="BH26" s="133">
        <v>10</v>
      </c>
      <c r="BI26" s="130"/>
      <c r="BJ26" s="130"/>
      <c r="BK26">
        <f t="shared" si="2"/>
        <v>20</v>
      </c>
    </row>
    <row r="27" spans="1:63" ht="15.5" x14ac:dyDescent="0.35">
      <c r="A27" t="s">
        <v>160</v>
      </c>
      <c r="B27" s="36" t="s">
        <v>160</v>
      </c>
      <c r="C27" s="64" t="s">
        <v>161</v>
      </c>
      <c r="D27" s="55" t="s">
        <v>291</v>
      </c>
      <c r="E27" s="55" t="s">
        <v>291</v>
      </c>
      <c r="F27" s="55" t="s">
        <v>291</v>
      </c>
      <c r="G27" s="55" t="s">
        <v>291</v>
      </c>
      <c r="H27" s="56" t="s">
        <v>285</v>
      </c>
      <c r="I27" s="55" t="s">
        <v>291</v>
      </c>
      <c r="J27" s="55" t="s">
        <v>291</v>
      </c>
      <c r="K27" s="55" t="s">
        <v>291</v>
      </c>
      <c r="L27" s="55" t="s">
        <v>291</v>
      </c>
      <c r="M27" s="57" t="s">
        <v>291</v>
      </c>
      <c r="N27" s="55" t="s">
        <v>291</v>
      </c>
      <c r="O27" s="15" t="s">
        <v>291</v>
      </c>
      <c r="P27" s="58" t="s">
        <v>291</v>
      </c>
      <c r="Q27" s="24" t="s">
        <v>291</v>
      </c>
      <c r="R27" s="24" t="s">
        <v>291</v>
      </c>
      <c r="S27" s="24" t="s">
        <v>291</v>
      </c>
      <c r="T27" s="38" t="s">
        <v>285</v>
      </c>
      <c r="U27" s="25" t="s">
        <v>291</v>
      </c>
      <c r="V27" s="25" t="s">
        <v>291</v>
      </c>
      <c r="W27" s="46" t="s">
        <v>285</v>
      </c>
      <c r="X27" s="26" t="s">
        <v>291</v>
      </c>
      <c r="Y27" s="26" t="s">
        <v>291</v>
      </c>
      <c r="Z27" s="26" t="s">
        <v>291</v>
      </c>
      <c r="AA27" s="26" t="s">
        <v>291</v>
      </c>
      <c r="AB27" s="26" t="s">
        <v>291</v>
      </c>
      <c r="AC27" s="26" t="s">
        <v>291</v>
      </c>
      <c r="AD27" s="26" t="s">
        <v>291</v>
      </c>
      <c r="AE27" s="26" t="s">
        <v>291</v>
      </c>
      <c r="AF27" s="26" t="s">
        <v>291</v>
      </c>
      <c r="AG27" s="26" t="s">
        <v>291</v>
      </c>
      <c r="AH27" s="26" t="s">
        <v>291</v>
      </c>
      <c r="AI27" s="26" t="s">
        <v>291</v>
      </c>
      <c r="AJ27" s="26" t="s">
        <v>291</v>
      </c>
      <c r="AK27" s="26" t="s">
        <v>291</v>
      </c>
      <c r="AL27" s="29" t="s">
        <v>285</v>
      </c>
      <c r="AM27" s="26" t="s">
        <v>291</v>
      </c>
      <c r="AN27" s="26" t="s">
        <v>291</v>
      </c>
      <c r="AO27" s="29" t="s">
        <v>285</v>
      </c>
      <c r="AP27" s="26" t="s">
        <v>291</v>
      </c>
      <c r="AQ27" s="26" t="s">
        <v>291</v>
      </c>
      <c r="AR27" s="29" t="s">
        <v>285</v>
      </c>
      <c r="AS27" s="26" t="s">
        <v>291</v>
      </c>
      <c r="AT27" s="26" t="s">
        <v>291</v>
      </c>
      <c r="AU27" s="26" t="s">
        <v>291</v>
      </c>
      <c r="AV27" s="26" t="s">
        <v>291</v>
      </c>
      <c r="AW27" s="26" t="s">
        <v>291</v>
      </c>
      <c r="AX27" s="26" t="s">
        <v>291</v>
      </c>
      <c r="AY27" s="26" t="s">
        <v>291</v>
      </c>
      <c r="AZ27" s="26" t="s">
        <v>291</v>
      </c>
      <c r="BA27" s="26" t="s">
        <v>291</v>
      </c>
      <c r="BB27" s="26" t="s">
        <v>291</v>
      </c>
      <c r="BC27" s="50">
        <f t="shared" si="0"/>
        <v>6</v>
      </c>
      <c r="BD27" s="95">
        <f t="shared" si="1"/>
        <v>0</v>
      </c>
      <c r="BE27" s="128" t="s">
        <v>160</v>
      </c>
      <c r="BF27" s="142" t="s">
        <v>161</v>
      </c>
      <c r="BG27" s="133">
        <v>10</v>
      </c>
      <c r="BH27" s="133">
        <v>10</v>
      </c>
      <c r="BI27" s="130"/>
      <c r="BJ27" s="130"/>
      <c r="BK27">
        <f t="shared" si="2"/>
        <v>20</v>
      </c>
    </row>
    <row r="28" spans="1:63" ht="15.5" x14ac:dyDescent="0.35">
      <c r="A28" t="s">
        <v>162</v>
      </c>
      <c r="B28" s="36" t="s">
        <v>162</v>
      </c>
      <c r="C28" s="64" t="s">
        <v>163</v>
      </c>
      <c r="D28" s="55" t="s">
        <v>291</v>
      </c>
      <c r="E28" s="55" t="s">
        <v>291</v>
      </c>
      <c r="F28" s="55" t="s">
        <v>291</v>
      </c>
      <c r="G28" s="55" t="s">
        <v>291</v>
      </c>
      <c r="H28" s="55" t="s">
        <v>291</v>
      </c>
      <c r="I28" s="55" t="s">
        <v>291</v>
      </c>
      <c r="J28" s="55" t="s">
        <v>291</v>
      </c>
      <c r="K28" s="55" t="s">
        <v>291</v>
      </c>
      <c r="L28" s="55" t="s">
        <v>291</v>
      </c>
      <c r="M28" s="57" t="s">
        <v>291</v>
      </c>
      <c r="N28" s="55" t="s">
        <v>291</v>
      </c>
      <c r="O28" s="15" t="s">
        <v>291</v>
      </c>
      <c r="P28" s="58" t="s">
        <v>291</v>
      </c>
      <c r="Q28" s="24" t="s">
        <v>291</v>
      </c>
      <c r="R28" s="24" t="s">
        <v>291</v>
      </c>
      <c r="S28" s="24" t="s">
        <v>291</v>
      </c>
      <c r="T28" s="24" t="s">
        <v>291</v>
      </c>
      <c r="U28" s="25" t="s">
        <v>291</v>
      </c>
      <c r="V28" s="25" t="s">
        <v>291</v>
      </c>
      <c r="W28" s="42" t="s">
        <v>291</v>
      </c>
      <c r="X28" s="26" t="s">
        <v>291</v>
      </c>
      <c r="Y28" s="26" t="s">
        <v>291</v>
      </c>
      <c r="Z28" s="26" t="s">
        <v>291</v>
      </c>
      <c r="AA28" s="26" t="s">
        <v>291</v>
      </c>
      <c r="AB28" s="26" t="s">
        <v>291</v>
      </c>
      <c r="AC28" s="26" t="s">
        <v>291</v>
      </c>
      <c r="AD28" s="29" t="s">
        <v>285</v>
      </c>
      <c r="AE28" s="26" t="s">
        <v>291</v>
      </c>
      <c r="AF28" s="26" t="s">
        <v>291</v>
      </c>
      <c r="AG28" s="26" t="s">
        <v>291</v>
      </c>
      <c r="AH28" s="26" t="s">
        <v>291</v>
      </c>
      <c r="AI28" s="26" t="s">
        <v>291</v>
      </c>
      <c r="AJ28" s="26" t="s">
        <v>291</v>
      </c>
      <c r="AK28" s="26" t="s">
        <v>291</v>
      </c>
      <c r="AL28" s="26" t="s">
        <v>291</v>
      </c>
      <c r="AM28" s="26" t="s">
        <v>291</v>
      </c>
      <c r="AN28" s="26" t="s">
        <v>291</v>
      </c>
      <c r="AO28" s="26" t="s">
        <v>291</v>
      </c>
      <c r="AP28" s="26" t="s">
        <v>291</v>
      </c>
      <c r="AQ28" s="26" t="s">
        <v>291</v>
      </c>
      <c r="AR28" s="26" t="s">
        <v>291</v>
      </c>
      <c r="AS28" s="26" t="s">
        <v>291</v>
      </c>
      <c r="AT28" s="26" t="s">
        <v>291</v>
      </c>
      <c r="AU28" s="29" t="s">
        <v>285</v>
      </c>
      <c r="AV28" s="26" t="s">
        <v>291</v>
      </c>
      <c r="AW28" s="26" t="s">
        <v>291</v>
      </c>
      <c r="AX28" s="26" t="s">
        <v>291</v>
      </c>
      <c r="AY28" s="26" t="s">
        <v>291</v>
      </c>
      <c r="AZ28" s="26" t="s">
        <v>291</v>
      </c>
      <c r="BA28" s="26" t="s">
        <v>291</v>
      </c>
      <c r="BB28" s="26" t="s">
        <v>291</v>
      </c>
      <c r="BC28" s="50">
        <f t="shared" si="0"/>
        <v>2</v>
      </c>
      <c r="BD28" s="95">
        <f t="shared" si="1"/>
        <v>0</v>
      </c>
      <c r="BE28" s="128" t="s">
        <v>162</v>
      </c>
      <c r="BF28" s="142" t="s">
        <v>163</v>
      </c>
      <c r="BG28" s="133">
        <v>10</v>
      </c>
      <c r="BH28" s="133">
        <v>10</v>
      </c>
      <c r="BI28" s="130"/>
      <c r="BJ28" s="130"/>
      <c r="BK28">
        <f t="shared" si="2"/>
        <v>20</v>
      </c>
    </row>
    <row r="29" spans="1:63" ht="15.5" x14ac:dyDescent="0.35">
      <c r="A29" t="s">
        <v>164</v>
      </c>
      <c r="B29" s="36" t="s">
        <v>164</v>
      </c>
      <c r="C29" s="64" t="s">
        <v>165</v>
      </c>
      <c r="D29" s="55" t="s">
        <v>291</v>
      </c>
      <c r="E29" s="55" t="s">
        <v>291</v>
      </c>
      <c r="F29" s="55" t="s">
        <v>291</v>
      </c>
      <c r="G29" s="55" t="s">
        <v>291</v>
      </c>
      <c r="H29" s="55" t="s">
        <v>291</v>
      </c>
      <c r="I29" s="55" t="s">
        <v>291</v>
      </c>
      <c r="J29" s="55" t="s">
        <v>291</v>
      </c>
      <c r="K29" s="55" t="s">
        <v>291</v>
      </c>
      <c r="L29" s="55" t="s">
        <v>291</v>
      </c>
      <c r="M29" s="57" t="s">
        <v>291</v>
      </c>
      <c r="N29" s="55" t="s">
        <v>291</v>
      </c>
      <c r="O29" s="15" t="s">
        <v>291</v>
      </c>
      <c r="P29" s="58" t="s">
        <v>291</v>
      </c>
      <c r="Q29" s="24" t="s">
        <v>291</v>
      </c>
      <c r="R29" s="24" t="s">
        <v>291</v>
      </c>
      <c r="S29" s="24" t="s">
        <v>291</v>
      </c>
      <c r="T29" s="24" t="s">
        <v>291</v>
      </c>
      <c r="U29" s="25" t="s">
        <v>291</v>
      </c>
      <c r="V29" s="25" t="s">
        <v>291</v>
      </c>
      <c r="W29" s="42" t="s">
        <v>291</v>
      </c>
      <c r="X29" s="26" t="s">
        <v>292</v>
      </c>
      <c r="Y29" s="26" t="s">
        <v>291</v>
      </c>
      <c r="Z29" s="26" t="s">
        <v>291</v>
      </c>
      <c r="AA29" s="26" t="s">
        <v>291</v>
      </c>
      <c r="AB29" s="26" t="s">
        <v>291</v>
      </c>
      <c r="AC29" s="65" t="s">
        <v>285</v>
      </c>
      <c r="AD29" s="62" t="s">
        <v>291</v>
      </c>
      <c r="AE29" s="65" t="s">
        <v>285</v>
      </c>
      <c r="AF29" s="62" t="s">
        <v>291</v>
      </c>
      <c r="AG29" s="62" t="s">
        <v>292</v>
      </c>
      <c r="AH29" s="26" t="s">
        <v>291</v>
      </c>
      <c r="AI29" s="26" t="s">
        <v>291</v>
      </c>
      <c r="AJ29" s="26" t="s">
        <v>291</v>
      </c>
      <c r="AK29" s="29" t="s">
        <v>285</v>
      </c>
      <c r="AL29" s="26" t="s">
        <v>291</v>
      </c>
      <c r="AM29" s="26" t="s">
        <v>291</v>
      </c>
      <c r="AN29" s="26" t="s">
        <v>291</v>
      </c>
      <c r="AO29" s="26" t="s">
        <v>291</v>
      </c>
      <c r="AP29" s="26" t="s">
        <v>291</v>
      </c>
      <c r="AQ29" s="26" t="s">
        <v>291</v>
      </c>
      <c r="AR29" s="26" t="s">
        <v>292</v>
      </c>
      <c r="AS29" s="26" t="s">
        <v>291</v>
      </c>
      <c r="AT29" s="26" t="s">
        <v>291</v>
      </c>
      <c r="AU29" s="26" t="s">
        <v>292</v>
      </c>
      <c r="AV29" s="26" t="s">
        <v>291</v>
      </c>
      <c r="AW29" s="26" t="s">
        <v>291</v>
      </c>
      <c r="AX29" s="26" t="s">
        <v>291</v>
      </c>
      <c r="AY29" s="26" t="s">
        <v>291</v>
      </c>
      <c r="AZ29" s="26" t="s">
        <v>292</v>
      </c>
      <c r="BA29" s="26" t="s">
        <v>291</v>
      </c>
      <c r="BB29" s="29" t="s">
        <v>285</v>
      </c>
      <c r="BC29" s="50">
        <f t="shared" si="0"/>
        <v>4</v>
      </c>
      <c r="BD29" s="95">
        <f t="shared" si="1"/>
        <v>5</v>
      </c>
      <c r="BE29" s="128" t="s">
        <v>164</v>
      </c>
      <c r="BF29" s="142" t="s">
        <v>165</v>
      </c>
      <c r="BG29" s="133">
        <v>10</v>
      </c>
      <c r="BH29" s="133">
        <v>10</v>
      </c>
      <c r="BI29" s="130"/>
      <c r="BJ29" s="130"/>
      <c r="BK29">
        <f t="shared" si="2"/>
        <v>20</v>
      </c>
    </row>
    <row r="30" spans="1:63" ht="15.5" x14ac:dyDescent="0.35">
      <c r="A30" t="s">
        <v>166</v>
      </c>
      <c r="B30" s="36" t="s">
        <v>166</v>
      </c>
      <c r="C30" s="64" t="s">
        <v>167</v>
      </c>
      <c r="D30" s="56" t="s">
        <v>285</v>
      </c>
      <c r="E30" s="55" t="s">
        <v>291</v>
      </c>
      <c r="F30" s="55" t="s">
        <v>291</v>
      </c>
      <c r="G30" s="55" t="s">
        <v>291</v>
      </c>
      <c r="H30" s="55" t="s">
        <v>291</v>
      </c>
      <c r="I30" s="55" t="s">
        <v>291</v>
      </c>
      <c r="J30" s="55" t="s">
        <v>291</v>
      </c>
      <c r="K30" s="55" t="s">
        <v>291</v>
      </c>
      <c r="L30" s="55" t="s">
        <v>291</v>
      </c>
      <c r="M30" s="57" t="s">
        <v>291</v>
      </c>
      <c r="N30" s="55" t="s">
        <v>291</v>
      </c>
      <c r="O30" s="15" t="s">
        <v>291</v>
      </c>
      <c r="P30" s="61" t="s">
        <v>285</v>
      </c>
      <c r="Q30" s="24" t="s">
        <v>291</v>
      </c>
      <c r="R30" s="24" t="s">
        <v>291</v>
      </c>
      <c r="S30" s="24" t="s">
        <v>291</v>
      </c>
      <c r="T30" s="24" t="s">
        <v>291</v>
      </c>
      <c r="U30" s="25" t="s">
        <v>291</v>
      </c>
      <c r="V30" s="25" t="s">
        <v>291</v>
      </c>
      <c r="W30" s="42" t="s">
        <v>291</v>
      </c>
      <c r="X30" s="62" t="s">
        <v>291</v>
      </c>
      <c r="Y30" s="26" t="s">
        <v>291</v>
      </c>
      <c r="Z30" s="26" t="s">
        <v>291</v>
      </c>
      <c r="AA30" s="26" t="s">
        <v>291</v>
      </c>
      <c r="AB30" s="39" t="s">
        <v>291</v>
      </c>
      <c r="AC30" s="35" t="s">
        <v>291</v>
      </c>
      <c r="AD30" s="35" t="s">
        <v>291</v>
      </c>
      <c r="AE30" s="35" t="s">
        <v>291</v>
      </c>
      <c r="AF30" s="35" t="s">
        <v>291</v>
      </c>
      <c r="AG30" s="35" t="s">
        <v>291</v>
      </c>
      <c r="AH30" s="65" t="s">
        <v>285</v>
      </c>
      <c r="AI30" s="62" t="s">
        <v>291</v>
      </c>
      <c r="AJ30" s="62" t="s">
        <v>291</v>
      </c>
      <c r="AK30" s="26" t="s">
        <v>291</v>
      </c>
      <c r="AL30" s="62" t="s">
        <v>291</v>
      </c>
      <c r="AM30" s="26" t="s">
        <v>291</v>
      </c>
      <c r="AN30" s="62" t="s">
        <v>291</v>
      </c>
      <c r="AO30" s="65" t="s">
        <v>285</v>
      </c>
      <c r="AP30" s="62" t="s">
        <v>291</v>
      </c>
      <c r="AQ30" s="26" t="s">
        <v>291</v>
      </c>
      <c r="AR30" s="26" t="s">
        <v>291</v>
      </c>
      <c r="AS30" s="62" t="s">
        <v>291</v>
      </c>
      <c r="AT30" s="62" t="s">
        <v>291</v>
      </c>
      <c r="AU30" s="62" t="s">
        <v>291</v>
      </c>
      <c r="AV30" s="26" t="s">
        <v>291</v>
      </c>
      <c r="AW30" s="29" t="s">
        <v>285</v>
      </c>
      <c r="AX30" s="26" t="s">
        <v>291</v>
      </c>
      <c r="AY30" s="26" t="s">
        <v>291</v>
      </c>
      <c r="AZ30" s="26" t="s">
        <v>291</v>
      </c>
      <c r="BA30" s="65" t="s">
        <v>285</v>
      </c>
      <c r="BB30" s="26" t="s">
        <v>291</v>
      </c>
      <c r="BC30" s="50">
        <f t="shared" si="0"/>
        <v>6</v>
      </c>
      <c r="BD30" s="95">
        <f t="shared" si="1"/>
        <v>0</v>
      </c>
      <c r="BE30" s="128" t="s">
        <v>166</v>
      </c>
      <c r="BF30" s="142" t="s">
        <v>167</v>
      </c>
      <c r="BG30" s="133">
        <v>10</v>
      </c>
      <c r="BH30" s="133">
        <v>10</v>
      </c>
      <c r="BI30" s="130"/>
      <c r="BJ30" s="130"/>
      <c r="BK30">
        <f t="shared" si="2"/>
        <v>20</v>
      </c>
    </row>
    <row r="31" spans="1:63" ht="15.5" x14ac:dyDescent="0.35">
      <c r="A31" t="s">
        <v>54</v>
      </c>
      <c r="B31" s="14" t="s">
        <v>54</v>
      </c>
      <c r="C31" s="54" t="s">
        <v>168</v>
      </c>
      <c r="D31" s="67" t="s">
        <v>291</v>
      </c>
      <c r="E31" s="67" t="s">
        <v>291</v>
      </c>
      <c r="F31" s="55" t="s">
        <v>291</v>
      </c>
      <c r="G31" s="67" t="s">
        <v>291</v>
      </c>
      <c r="H31" s="67" t="s">
        <v>291</v>
      </c>
      <c r="I31" s="67" t="s">
        <v>291</v>
      </c>
      <c r="J31" s="67" t="s">
        <v>291</v>
      </c>
      <c r="K31" s="67" t="s">
        <v>291</v>
      </c>
      <c r="L31" s="67" t="s">
        <v>291</v>
      </c>
      <c r="M31" s="68" t="s">
        <v>285</v>
      </c>
      <c r="N31" s="67" t="s">
        <v>291</v>
      </c>
      <c r="O31" s="69" t="s">
        <v>291</v>
      </c>
      <c r="P31" s="70" t="s">
        <v>291</v>
      </c>
      <c r="Q31" s="71" t="s">
        <v>291</v>
      </c>
      <c r="R31" s="71" t="s">
        <v>291</v>
      </c>
      <c r="S31" s="71" t="s">
        <v>291</v>
      </c>
      <c r="T31" s="71" t="s">
        <v>291</v>
      </c>
      <c r="U31" s="72" t="s">
        <v>291</v>
      </c>
      <c r="V31" s="73" t="s">
        <v>285</v>
      </c>
      <c r="W31" s="74" t="s">
        <v>291</v>
      </c>
      <c r="X31" s="75" t="s">
        <v>291</v>
      </c>
      <c r="Y31" s="62" t="s">
        <v>291</v>
      </c>
      <c r="Z31" s="75" t="s">
        <v>291</v>
      </c>
      <c r="AA31" s="62" t="s">
        <v>291</v>
      </c>
      <c r="AB31" s="76" t="s">
        <v>291</v>
      </c>
      <c r="AC31" s="75" t="s">
        <v>291</v>
      </c>
      <c r="AD31" s="75" t="s">
        <v>291</v>
      </c>
      <c r="AE31" s="77" t="s">
        <v>285</v>
      </c>
      <c r="AF31" s="75" t="s">
        <v>291</v>
      </c>
      <c r="AG31" s="78" t="s">
        <v>291</v>
      </c>
      <c r="AH31" s="75" t="s">
        <v>291</v>
      </c>
      <c r="AI31" s="75" t="s">
        <v>291</v>
      </c>
      <c r="AJ31" s="75" t="s">
        <v>291</v>
      </c>
      <c r="AK31" s="62" t="s">
        <v>291</v>
      </c>
      <c r="AL31" s="75" t="s">
        <v>291</v>
      </c>
      <c r="AM31" s="62" t="s">
        <v>291</v>
      </c>
      <c r="AN31" s="75" t="s">
        <v>291</v>
      </c>
      <c r="AO31" s="75" t="s">
        <v>291</v>
      </c>
      <c r="AP31" s="75" t="s">
        <v>291</v>
      </c>
      <c r="AQ31" s="62" t="s">
        <v>291</v>
      </c>
      <c r="AR31" s="26" t="s">
        <v>291</v>
      </c>
      <c r="AS31" s="75" t="s">
        <v>291</v>
      </c>
      <c r="AT31" s="75" t="s">
        <v>291</v>
      </c>
      <c r="AU31" s="75" t="s">
        <v>291</v>
      </c>
      <c r="AV31" s="26" t="s">
        <v>291</v>
      </c>
      <c r="AW31" s="62" t="s">
        <v>291</v>
      </c>
      <c r="AX31" s="75" t="s">
        <v>291</v>
      </c>
      <c r="AY31" s="62" t="s">
        <v>291</v>
      </c>
      <c r="AZ31" s="62" t="s">
        <v>291</v>
      </c>
      <c r="BA31" s="75" t="s">
        <v>291</v>
      </c>
      <c r="BB31" s="62" t="s">
        <v>291</v>
      </c>
      <c r="BC31" s="50">
        <f t="shared" si="0"/>
        <v>3</v>
      </c>
      <c r="BD31" s="95">
        <f t="shared" si="1"/>
        <v>0</v>
      </c>
      <c r="BE31" s="129" t="s">
        <v>54</v>
      </c>
      <c r="BF31" s="143" t="s">
        <v>168</v>
      </c>
      <c r="BG31" s="133">
        <v>10</v>
      </c>
      <c r="BH31" s="133">
        <v>10</v>
      </c>
      <c r="BI31" s="130"/>
      <c r="BJ31" s="130"/>
      <c r="BK31">
        <f t="shared" si="2"/>
        <v>20</v>
      </c>
    </row>
    <row r="32" spans="1:63" ht="15.5" x14ac:dyDescent="0.35">
      <c r="A32" t="s">
        <v>169</v>
      </c>
      <c r="B32" s="40" t="s">
        <v>169</v>
      </c>
      <c r="C32" s="41" t="s">
        <v>170</v>
      </c>
      <c r="D32" s="55" t="s">
        <v>291</v>
      </c>
      <c r="E32" s="55" t="s">
        <v>291</v>
      </c>
      <c r="F32" s="55" t="s">
        <v>291</v>
      </c>
      <c r="G32" s="55" t="s">
        <v>291</v>
      </c>
      <c r="H32" s="55" t="s">
        <v>291</v>
      </c>
      <c r="I32" s="55" t="s">
        <v>291</v>
      </c>
      <c r="J32" s="55" t="s">
        <v>291</v>
      </c>
      <c r="K32" s="55" t="s">
        <v>291</v>
      </c>
      <c r="L32" s="55" t="s">
        <v>291</v>
      </c>
      <c r="M32" s="55" t="s">
        <v>291</v>
      </c>
      <c r="N32" s="55" t="s">
        <v>291</v>
      </c>
      <c r="O32" s="15" t="s">
        <v>291</v>
      </c>
      <c r="P32" s="61" t="s">
        <v>285</v>
      </c>
      <c r="Q32" s="24" t="s">
        <v>291</v>
      </c>
      <c r="R32" s="24" t="s">
        <v>291</v>
      </c>
      <c r="S32" s="24" t="s">
        <v>291</v>
      </c>
      <c r="T32" s="24" t="s">
        <v>291</v>
      </c>
      <c r="U32" s="25" t="s">
        <v>291</v>
      </c>
      <c r="V32" s="25" t="s">
        <v>291</v>
      </c>
      <c r="W32" s="79" t="s">
        <v>291</v>
      </c>
      <c r="X32" s="27" t="s">
        <v>291</v>
      </c>
      <c r="Y32" s="27" t="s">
        <v>291</v>
      </c>
      <c r="Z32" s="27" t="s">
        <v>291</v>
      </c>
      <c r="AA32" s="27" t="s">
        <v>291</v>
      </c>
      <c r="AB32" s="29" t="s">
        <v>285</v>
      </c>
      <c r="AC32" s="26" t="s">
        <v>291</v>
      </c>
      <c r="AD32" s="26" t="s">
        <v>291</v>
      </c>
      <c r="AE32" s="26" t="s">
        <v>291</v>
      </c>
      <c r="AF32" s="26" t="s">
        <v>291</v>
      </c>
      <c r="AG32" s="26" t="s">
        <v>291</v>
      </c>
      <c r="AH32" s="26" t="s">
        <v>291</v>
      </c>
      <c r="AI32" s="26" t="s">
        <v>291</v>
      </c>
      <c r="AJ32" s="26" t="s">
        <v>291</v>
      </c>
      <c r="AK32" s="26" t="s">
        <v>291</v>
      </c>
      <c r="AL32" s="26" t="s">
        <v>291</v>
      </c>
      <c r="AM32" s="26" t="s">
        <v>291</v>
      </c>
      <c r="AN32" s="26" t="s">
        <v>291</v>
      </c>
      <c r="AO32" s="26" t="s">
        <v>291</v>
      </c>
      <c r="AP32" s="27" t="s">
        <v>291</v>
      </c>
      <c r="AQ32" s="27" t="s">
        <v>291</v>
      </c>
      <c r="AR32" s="27" t="s">
        <v>291</v>
      </c>
      <c r="AS32" s="27" t="s">
        <v>291</v>
      </c>
      <c r="AT32" s="27" t="s">
        <v>291</v>
      </c>
      <c r="AU32" s="27" t="s">
        <v>291</v>
      </c>
      <c r="AV32" s="27" t="s">
        <v>291</v>
      </c>
      <c r="AW32" s="27" t="s">
        <v>291</v>
      </c>
      <c r="AX32" s="26" t="s">
        <v>291</v>
      </c>
      <c r="AY32" s="26" t="s">
        <v>291</v>
      </c>
      <c r="AZ32" s="26" t="s">
        <v>291</v>
      </c>
      <c r="BA32" s="26" t="s">
        <v>291</v>
      </c>
      <c r="BB32" s="26" t="s">
        <v>291</v>
      </c>
      <c r="BC32" s="50">
        <f t="shared" si="0"/>
        <v>2</v>
      </c>
      <c r="BD32" s="95">
        <f t="shared" si="1"/>
        <v>0</v>
      </c>
      <c r="BE32" s="114" t="s">
        <v>398</v>
      </c>
      <c r="BF32" s="114" t="s">
        <v>427</v>
      </c>
      <c r="BG32" s="133">
        <v>10</v>
      </c>
      <c r="BH32" s="133">
        <v>10</v>
      </c>
      <c r="BI32" s="130"/>
      <c r="BJ32" s="130"/>
      <c r="BK32">
        <f t="shared" si="2"/>
        <v>20</v>
      </c>
    </row>
    <row r="33" spans="1:63" ht="15.5" x14ac:dyDescent="0.35">
      <c r="A33" t="s">
        <v>171</v>
      </c>
      <c r="B33" s="40" t="s">
        <v>171</v>
      </c>
      <c r="C33" s="41" t="s">
        <v>172</v>
      </c>
      <c r="D33" s="55" t="s">
        <v>291</v>
      </c>
      <c r="E33" s="55" t="s">
        <v>291</v>
      </c>
      <c r="F33" s="55" t="s">
        <v>291</v>
      </c>
      <c r="G33" s="55" t="s">
        <v>291</v>
      </c>
      <c r="H33" s="55" t="s">
        <v>291</v>
      </c>
      <c r="I33" s="55" t="s">
        <v>291</v>
      </c>
      <c r="J33" s="55" t="s">
        <v>291</v>
      </c>
      <c r="K33" s="55" t="s">
        <v>291</v>
      </c>
      <c r="L33" s="55" t="s">
        <v>291</v>
      </c>
      <c r="M33" s="55" t="s">
        <v>291</v>
      </c>
      <c r="N33" s="55" t="s">
        <v>291</v>
      </c>
      <c r="O33" s="15" t="s">
        <v>291</v>
      </c>
      <c r="P33" s="58" t="s">
        <v>291</v>
      </c>
      <c r="Q33" s="24" t="s">
        <v>291</v>
      </c>
      <c r="R33" s="24" t="s">
        <v>291</v>
      </c>
      <c r="S33" s="24" t="s">
        <v>291</v>
      </c>
      <c r="T33" s="24" t="s">
        <v>291</v>
      </c>
      <c r="U33" s="25" t="s">
        <v>291</v>
      </c>
      <c r="V33" s="25" t="s">
        <v>291</v>
      </c>
      <c r="W33" s="79" t="s">
        <v>291</v>
      </c>
      <c r="X33" s="27" t="s">
        <v>291</v>
      </c>
      <c r="Y33" s="27" t="s">
        <v>291</v>
      </c>
      <c r="Z33" s="27" t="s">
        <v>291</v>
      </c>
      <c r="AA33" s="27" t="s">
        <v>291</v>
      </c>
      <c r="AB33" s="26" t="s">
        <v>291</v>
      </c>
      <c r="AC33" s="26" t="s">
        <v>291</v>
      </c>
      <c r="AD33" s="26" t="s">
        <v>291</v>
      </c>
      <c r="AE33" s="26" t="s">
        <v>291</v>
      </c>
      <c r="AF33" s="26" t="s">
        <v>291</v>
      </c>
      <c r="AG33" s="26" t="s">
        <v>291</v>
      </c>
      <c r="AH33" s="26" t="s">
        <v>291</v>
      </c>
      <c r="AI33" s="26" t="s">
        <v>291</v>
      </c>
      <c r="AJ33" s="26" t="s">
        <v>291</v>
      </c>
      <c r="AK33" s="26" t="s">
        <v>291</v>
      </c>
      <c r="AL33" s="26" t="s">
        <v>291</v>
      </c>
      <c r="AM33" s="26" t="s">
        <v>291</v>
      </c>
      <c r="AN33" s="26" t="s">
        <v>291</v>
      </c>
      <c r="AO33" s="26" t="s">
        <v>291</v>
      </c>
      <c r="AP33" s="27" t="s">
        <v>291</v>
      </c>
      <c r="AQ33" s="27" t="s">
        <v>291</v>
      </c>
      <c r="AR33" s="27" t="s">
        <v>291</v>
      </c>
      <c r="AS33" s="27" t="s">
        <v>291</v>
      </c>
      <c r="AT33" s="27" t="s">
        <v>291</v>
      </c>
      <c r="AU33" s="27" t="s">
        <v>291</v>
      </c>
      <c r="AV33" s="27" t="s">
        <v>291</v>
      </c>
      <c r="AW33" s="27" t="s">
        <v>291</v>
      </c>
      <c r="AX33" s="26" t="s">
        <v>291</v>
      </c>
      <c r="AY33" s="26" t="s">
        <v>291</v>
      </c>
      <c r="AZ33" s="26" t="s">
        <v>291</v>
      </c>
      <c r="BA33" s="26" t="s">
        <v>291</v>
      </c>
      <c r="BB33" s="26" t="s">
        <v>291</v>
      </c>
      <c r="BC33" s="50">
        <f t="shared" si="0"/>
        <v>0</v>
      </c>
      <c r="BD33" s="95">
        <f t="shared" si="1"/>
        <v>0</v>
      </c>
      <c r="BE33" s="114" t="s">
        <v>171</v>
      </c>
      <c r="BF33" s="114" t="s">
        <v>428</v>
      </c>
      <c r="BG33" s="133">
        <v>10</v>
      </c>
      <c r="BH33" s="133">
        <v>10</v>
      </c>
      <c r="BI33" s="130"/>
      <c r="BJ33" s="130"/>
      <c r="BK33">
        <f t="shared" si="2"/>
        <v>20</v>
      </c>
    </row>
    <row r="34" spans="1:63" ht="15.5" x14ac:dyDescent="0.35">
      <c r="A34" t="s">
        <v>173</v>
      </c>
      <c r="B34" s="14" t="s">
        <v>173</v>
      </c>
      <c r="C34" s="44" t="s">
        <v>174</v>
      </c>
      <c r="D34" s="55" t="s">
        <v>291</v>
      </c>
      <c r="E34" s="56" t="s">
        <v>285</v>
      </c>
      <c r="F34" s="55" t="s">
        <v>291</v>
      </c>
      <c r="G34" s="55" t="s">
        <v>291</v>
      </c>
      <c r="H34" s="55" t="s">
        <v>291</v>
      </c>
      <c r="I34" s="55" t="s">
        <v>291</v>
      </c>
      <c r="J34" s="55" t="s">
        <v>291</v>
      </c>
      <c r="K34" s="55" t="s">
        <v>291</v>
      </c>
      <c r="L34" s="55" t="s">
        <v>291</v>
      </c>
      <c r="M34" s="56" t="s">
        <v>285</v>
      </c>
      <c r="N34" s="55" t="s">
        <v>291</v>
      </c>
      <c r="O34" s="15" t="s">
        <v>291</v>
      </c>
      <c r="P34" s="58" t="s">
        <v>291</v>
      </c>
      <c r="Q34" s="24" t="s">
        <v>291</v>
      </c>
      <c r="R34" s="24" t="s">
        <v>291</v>
      </c>
      <c r="S34" s="24" t="s">
        <v>291</v>
      </c>
      <c r="T34" s="24" t="s">
        <v>291</v>
      </c>
      <c r="U34" s="25" t="s">
        <v>291</v>
      </c>
      <c r="V34" s="25" t="s">
        <v>291</v>
      </c>
      <c r="W34" s="79" t="s">
        <v>291</v>
      </c>
      <c r="X34" s="27" t="s">
        <v>291</v>
      </c>
      <c r="Y34" s="27" t="s">
        <v>291</v>
      </c>
      <c r="Z34" s="27" t="s">
        <v>291</v>
      </c>
      <c r="AA34" s="27" t="s">
        <v>291</v>
      </c>
      <c r="AB34" s="26" t="s">
        <v>291</v>
      </c>
      <c r="AC34" s="26" t="s">
        <v>291</v>
      </c>
      <c r="AD34" s="26" t="s">
        <v>291</v>
      </c>
      <c r="AE34" s="26" t="s">
        <v>291</v>
      </c>
      <c r="AF34" s="26" t="s">
        <v>291</v>
      </c>
      <c r="AG34" s="26" t="s">
        <v>291</v>
      </c>
      <c r="AH34" s="26" t="s">
        <v>291</v>
      </c>
      <c r="AI34" s="26" t="s">
        <v>291</v>
      </c>
      <c r="AJ34" s="26" t="s">
        <v>291</v>
      </c>
      <c r="AK34" s="26" t="s">
        <v>291</v>
      </c>
      <c r="AL34" s="26" t="s">
        <v>291</v>
      </c>
      <c r="AM34" s="26" t="s">
        <v>291</v>
      </c>
      <c r="AN34" s="26" t="s">
        <v>291</v>
      </c>
      <c r="AO34" s="26" t="s">
        <v>291</v>
      </c>
      <c r="AP34" s="27" t="s">
        <v>291</v>
      </c>
      <c r="AQ34" s="27" t="s">
        <v>291</v>
      </c>
      <c r="AR34" s="27" t="s">
        <v>291</v>
      </c>
      <c r="AS34" s="27" t="s">
        <v>291</v>
      </c>
      <c r="AT34" s="27" t="s">
        <v>291</v>
      </c>
      <c r="AU34" s="27" t="s">
        <v>291</v>
      </c>
      <c r="AV34" s="27" t="s">
        <v>291</v>
      </c>
      <c r="AW34" s="27" t="s">
        <v>291</v>
      </c>
      <c r="AX34" s="26" t="s">
        <v>291</v>
      </c>
      <c r="AY34" s="26" t="s">
        <v>291</v>
      </c>
      <c r="AZ34" s="29" t="s">
        <v>285</v>
      </c>
      <c r="BA34" s="26" t="s">
        <v>291</v>
      </c>
      <c r="BB34" s="26" t="s">
        <v>291</v>
      </c>
      <c r="BC34" s="50">
        <f t="shared" si="0"/>
        <v>3</v>
      </c>
      <c r="BD34" s="95">
        <f t="shared" si="1"/>
        <v>0</v>
      </c>
      <c r="BE34" s="114" t="s">
        <v>173</v>
      </c>
      <c r="BF34" s="114" t="s">
        <v>429</v>
      </c>
      <c r="BG34" s="133">
        <v>10</v>
      </c>
      <c r="BH34" s="133">
        <v>10</v>
      </c>
      <c r="BI34" s="130"/>
      <c r="BJ34" s="130"/>
      <c r="BK34">
        <f t="shared" si="2"/>
        <v>20</v>
      </c>
    </row>
    <row r="35" spans="1:63" ht="15.5" x14ac:dyDescent="0.35">
      <c r="A35" t="s">
        <v>175</v>
      </c>
      <c r="B35" s="14" t="s">
        <v>175</v>
      </c>
      <c r="C35" s="44" t="s">
        <v>176</v>
      </c>
      <c r="D35" s="55" t="s">
        <v>291</v>
      </c>
      <c r="E35" s="55" t="s">
        <v>291</v>
      </c>
      <c r="F35" s="55" t="s">
        <v>291</v>
      </c>
      <c r="G35" s="55" t="s">
        <v>291</v>
      </c>
      <c r="H35" s="55" t="s">
        <v>291</v>
      </c>
      <c r="I35" s="55" t="s">
        <v>291</v>
      </c>
      <c r="J35" s="55" t="s">
        <v>291</v>
      </c>
      <c r="K35" s="55" t="s">
        <v>291</v>
      </c>
      <c r="L35" s="55" t="s">
        <v>291</v>
      </c>
      <c r="M35" s="55" t="s">
        <v>291</v>
      </c>
      <c r="N35" s="55" t="s">
        <v>291</v>
      </c>
      <c r="O35" s="15" t="s">
        <v>291</v>
      </c>
      <c r="P35" s="58" t="s">
        <v>291</v>
      </c>
      <c r="Q35" s="71" t="s">
        <v>291</v>
      </c>
      <c r="R35" s="24" t="s">
        <v>291</v>
      </c>
      <c r="S35" s="24" t="s">
        <v>291</v>
      </c>
      <c r="T35" s="24" t="s">
        <v>291</v>
      </c>
      <c r="U35" s="25" t="s">
        <v>291</v>
      </c>
      <c r="V35" s="25" t="s">
        <v>291</v>
      </c>
      <c r="W35" s="79" t="s">
        <v>291</v>
      </c>
      <c r="X35" s="27" t="s">
        <v>291</v>
      </c>
      <c r="Y35" s="27" t="s">
        <v>291</v>
      </c>
      <c r="Z35" s="27" t="s">
        <v>291</v>
      </c>
      <c r="AA35" s="27" t="s">
        <v>291</v>
      </c>
      <c r="AB35" s="26" t="s">
        <v>291</v>
      </c>
      <c r="AC35" s="26" t="s">
        <v>291</v>
      </c>
      <c r="AD35" s="26" t="s">
        <v>291</v>
      </c>
      <c r="AE35" s="26" t="s">
        <v>291</v>
      </c>
      <c r="AF35" s="26" t="s">
        <v>291</v>
      </c>
      <c r="AG35" s="26" t="s">
        <v>291</v>
      </c>
      <c r="AH35" s="26" t="s">
        <v>291</v>
      </c>
      <c r="AI35" s="26" t="s">
        <v>291</v>
      </c>
      <c r="AJ35" s="26" t="s">
        <v>291</v>
      </c>
      <c r="AK35" s="26" t="s">
        <v>291</v>
      </c>
      <c r="AL35" s="26" t="s">
        <v>291</v>
      </c>
      <c r="AM35" s="26" t="s">
        <v>291</v>
      </c>
      <c r="AN35" s="26" t="s">
        <v>291</v>
      </c>
      <c r="AO35" s="26" t="s">
        <v>291</v>
      </c>
      <c r="AP35" s="27" t="s">
        <v>291</v>
      </c>
      <c r="AQ35" s="27" t="s">
        <v>291</v>
      </c>
      <c r="AR35" s="27" t="s">
        <v>291</v>
      </c>
      <c r="AS35" s="27" t="s">
        <v>291</v>
      </c>
      <c r="AT35" s="27" t="s">
        <v>291</v>
      </c>
      <c r="AU35" s="27" t="s">
        <v>291</v>
      </c>
      <c r="AV35" s="27" t="s">
        <v>291</v>
      </c>
      <c r="AW35" s="27" t="s">
        <v>291</v>
      </c>
      <c r="AX35" s="26" t="s">
        <v>291</v>
      </c>
      <c r="AY35" s="26" t="s">
        <v>291</v>
      </c>
      <c r="AZ35" s="26" t="s">
        <v>291</v>
      </c>
      <c r="BA35" s="26" t="s">
        <v>291</v>
      </c>
      <c r="BB35" s="26" t="s">
        <v>291</v>
      </c>
      <c r="BC35" s="50">
        <f t="shared" ref="BC35:BC62" si="3">COUNTIF(D35:BB35,"A")</f>
        <v>0</v>
      </c>
      <c r="BD35" s="95">
        <f t="shared" ref="BD35:BD62" si="4">COUNTIF(D35:BB35,"T")</f>
        <v>0</v>
      </c>
      <c r="BE35" s="114" t="s">
        <v>399</v>
      </c>
      <c r="BF35" s="114" t="s">
        <v>176</v>
      </c>
      <c r="BG35" s="133">
        <v>10</v>
      </c>
      <c r="BH35" s="133">
        <v>10</v>
      </c>
      <c r="BI35" s="130"/>
      <c r="BJ35" s="130"/>
      <c r="BK35">
        <f t="shared" si="2"/>
        <v>20</v>
      </c>
    </row>
    <row r="36" spans="1:63" ht="15.5" x14ac:dyDescent="0.35">
      <c r="A36" t="s">
        <v>177</v>
      </c>
      <c r="B36" s="14" t="s">
        <v>177</v>
      </c>
      <c r="C36" s="44" t="s">
        <v>178</v>
      </c>
      <c r="D36" s="56" t="s">
        <v>285</v>
      </c>
      <c r="E36" s="55" t="s">
        <v>291</v>
      </c>
      <c r="F36" s="55" t="s">
        <v>291</v>
      </c>
      <c r="G36" s="55" t="s">
        <v>291</v>
      </c>
      <c r="H36" s="55" t="s">
        <v>291</v>
      </c>
      <c r="I36" s="55" t="s">
        <v>291</v>
      </c>
      <c r="J36" s="55" t="s">
        <v>291</v>
      </c>
      <c r="K36" s="55" t="s">
        <v>291</v>
      </c>
      <c r="L36" s="55" t="s">
        <v>291</v>
      </c>
      <c r="M36" s="55" t="s">
        <v>291</v>
      </c>
      <c r="N36" s="55" t="s">
        <v>291</v>
      </c>
      <c r="O36" s="15" t="s">
        <v>291</v>
      </c>
      <c r="P36" s="80" t="s">
        <v>291</v>
      </c>
      <c r="Q36" s="81" t="s">
        <v>291</v>
      </c>
      <c r="R36" s="24" t="s">
        <v>291</v>
      </c>
      <c r="S36" s="24" t="s">
        <v>291</v>
      </c>
      <c r="T36" s="24" t="s">
        <v>291</v>
      </c>
      <c r="U36" s="25" t="s">
        <v>291</v>
      </c>
      <c r="V36" s="25" t="s">
        <v>291</v>
      </c>
      <c r="W36" s="38" t="s">
        <v>285</v>
      </c>
      <c r="X36" s="27" t="s">
        <v>291</v>
      </c>
      <c r="Y36" s="27" t="s">
        <v>291</v>
      </c>
      <c r="Z36" s="27" t="s">
        <v>291</v>
      </c>
      <c r="AA36" s="27" t="s">
        <v>291</v>
      </c>
      <c r="AB36" s="26" t="s">
        <v>291</v>
      </c>
      <c r="AC36" s="26" t="s">
        <v>291</v>
      </c>
      <c r="AD36" s="26" t="s">
        <v>291</v>
      </c>
      <c r="AE36" s="26" t="s">
        <v>291</v>
      </c>
      <c r="AF36" s="26" t="s">
        <v>291</v>
      </c>
      <c r="AG36" s="26" t="s">
        <v>291</v>
      </c>
      <c r="AH36" s="26" t="s">
        <v>291</v>
      </c>
      <c r="AI36" s="26" t="s">
        <v>291</v>
      </c>
      <c r="AJ36" s="26" t="s">
        <v>291</v>
      </c>
      <c r="AK36" s="26" t="s">
        <v>291</v>
      </c>
      <c r="AL36" s="26" t="s">
        <v>291</v>
      </c>
      <c r="AM36" s="26" t="s">
        <v>291</v>
      </c>
      <c r="AN36" s="26" t="s">
        <v>291</v>
      </c>
      <c r="AO36" s="26" t="s">
        <v>291</v>
      </c>
      <c r="AP36" s="27" t="s">
        <v>291</v>
      </c>
      <c r="AQ36" s="27" t="s">
        <v>291</v>
      </c>
      <c r="AR36" s="27" t="s">
        <v>291</v>
      </c>
      <c r="AS36" s="27" t="s">
        <v>291</v>
      </c>
      <c r="AT36" s="27" t="s">
        <v>291</v>
      </c>
      <c r="AU36" s="27" t="s">
        <v>291</v>
      </c>
      <c r="AV36" s="27" t="s">
        <v>291</v>
      </c>
      <c r="AW36" s="27" t="s">
        <v>291</v>
      </c>
      <c r="AX36" s="26" t="s">
        <v>291</v>
      </c>
      <c r="AY36" s="26" t="s">
        <v>291</v>
      </c>
      <c r="AZ36" s="26" t="s">
        <v>291</v>
      </c>
      <c r="BA36" s="26" t="s">
        <v>291</v>
      </c>
      <c r="BB36" s="26" t="s">
        <v>291</v>
      </c>
      <c r="BC36" s="50">
        <f t="shared" si="3"/>
        <v>2</v>
      </c>
      <c r="BD36" s="95">
        <f t="shared" si="4"/>
        <v>0</v>
      </c>
      <c r="BE36" s="114" t="s">
        <v>400</v>
      </c>
      <c r="BF36" s="114" t="s">
        <v>430</v>
      </c>
      <c r="BG36" s="133">
        <v>10</v>
      </c>
      <c r="BH36" s="133">
        <v>10</v>
      </c>
      <c r="BI36" s="130"/>
      <c r="BJ36" s="130"/>
      <c r="BK36">
        <f t="shared" si="2"/>
        <v>20</v>
      </c>
    </row>
    <row r="37" spans="1:63" ht="15.5" x14ac:dyDescent="0.35">
      <c r="A37" t="s">
        <v>179</v>
      </c>
      <c r="B37" s="14" t="s">
        <v>179</v>
      </c>
      <c r="C37" s="44" t="s">
        <v>180</v>
      </c>
      <c r="D37" s="55" t="s">
        <v>291</v>
      </c>
      <c r="E37" s="55" t="s">
        <v>291</v>
      </c>
      <c r="F37" s="55" t="s">
        <v>291</v>
      </c>
      <c r="G37" s="55" t="s">
        <v>291</v>
      </c>
      <c r="H37" s="55" t="s">
        <v>291</v>
      </c>
      <c r="I37" s="55" t="s">
        <v>291</v>
      </c>
      <c r="J37" s="55" t="s">
        <v>291</v>
      </c>
      <c r="K37" s="55" t="s">
        <v>291</v>
      </c>
      <c r="L37" s="55" t="s">
        <v>291</v>
      </c>
      <c r="M37" s="55" t="s">
        <v>291</v>
      </c>
      <c r="N37" s="55" t="s">
        <v>291</v>
      </c>
      <c r="O37" s="15" t="s">
        <v>291</v>
      </c>
      <c r="P37" s="58" t="s">
        <v>291</v>
      </c>
      <c r="Q37" s="17" t="s">
        <v>291</v>
      </c>
      <c r="R37" s="24" t="s">
        <v>291</v>
      </c>
      <c r="S37" s="24" t="s">
        <v>291</v>
      </c>
      <c r="T37" s="24" t="s">
        <v>291</v>
      </c>
      <c r="U37" s="25" t="s">
        <v>291</v>
      </c>
      <c r="V37" s="25" t="s">
        <v>291</v>
      </c>
      <c r="W37" s="79" t="s">
        <v>291</v>
      </c>
      <c r="X37" s="27" t="s">
        <v>291</v>
      </c>
      <c r="Y37" s="27" t="s">
        <v>291</v>
      </c>
      <c r="Z37" s="27" t="s">
        <v>291</v>
      </c>
      <c r="AA37" s="27" t="s">
        <v>291</v>
      </c>
      <c r="AB37" s="26" t="s">
        <v>291</v>
      </c>
      <c r="AC37" s="26" t="s">
        <v>291</v>
      </c>
      <c r="AD37" s="26" t="s">
        <v>291</v>
      </c>
      <c r="AE37" s="26" t="s">
        <v>291</v>
      </c>
      <c r="AF37" s="26" t="s">
        <v>291</v>
      </c>
      <c r="AG37" s="26" t="s">
        <v>291</v>
      </c>
      <c r="AH37" s="26" t="s">
        <v>291</v>
      </c>
      <c r="AI37" s="26" t="s">
        <v>291</v>
      </c>
      <c r="AJ37" s="26" t="s">
        <v>291</v>
      </c>
      <c r="AK37" s="26" t="s">
        <v>291</v>
      </c>
      <c r="AL37" s="26" t="s">
        <v>291</v>
      </c>
      <c r="AM37" s="26" t="s">
        <v>291</v>
      </c>
      <c r="AN37" s="26" t="s">
        <v>291</v>
      </c>
      <c r="AO37" s="26" t="s">
        <v>291</v>
      </c>
      <c r="AP37" s="27" t="s">
        <v>291</v>
      </c>
      <c r="AQ37" s="27" t="s">
        <v>291</v>
      </c>
      <c r="AR37" s="27" t="s">
        <v>291</v>
      </c>
      <c r="AS37" s="27" t="s">
        <v>291</v>
      </c>
      <c r="AT37" s="27" t="s">
        <v>291</v>
      </c>
      <c r="AU37" s="27" t="s">
        <v>291</v>
      </c>
      <c r="AV37" s="27" t="s">
        <v>291</v>
      </c>
      <c r="AW37" s="27" t="s">
        <v>291</v>
      </c>
      <c r="AX37" s="26" t="s">
        <v>291</v>
      </c>
      <c r="AY37" s="26" t="s">
        <v>291</v>
      </c>
      <c r="AZ37" s="26" t="s">
        <v>291</v>
      </c>
      <c r="BA37" s="26" t="s">
        <v>291</v>
      </c>
      <c r="BB37" s="26" t="s">
        <v>291</v>
      </c>
      <c r="BC37" s="50">
        <f t="shared" si="3"/>
        <v>0</v>
      </c>
      <c r="BD37" s="95">
        <f t="shared" si="4"/>
        <v>0</v>
      </c>
      <c r="BE37" s="114" t="s">
        <v>401</v>
      </c>
      <c r="BF37" s="114" t="s">
        <v>431</v>
      </c>
      <c r="BG37" s="133">
        <v>10</v>
      </c>
      <c r="BH37" s="133">
        <v>10</v>
      </c>
      <c r="BI37" s="130"/>
      <c r="BJ37" s="130"/>
      <c r="BK37">
        <f t="shared" si="2"/>
        <v>20</v>
      </c>
    </row>
    <row r="38" spans="1:63" ht="15.5" x14ac:dyDescent="0.35">
      <c r="A38" t="s">
        <v>181</v>
      </c>
      <c r="B38" s="14" t="s">
        <v>181</v>
      </c>
      <c r="C38" s="44" t="s">
        <v>132</v>
      </c>
      <c r="D38" s="55" t="s">
        <v>291</v>
      </c>
      <c r="E38" s="55" t="s">
        <v>291</v>
      </c>
      <c r="F38" s="55" t="s">
        <v>291</v>
      </c>
      <c r="G38" s="56" t="s">
        <v>285</v>
      </c>
      <c r="H38" s="55" t="s">
        <v>291</v>
      </c>
      <c r="I38" s="55" t="s">
        <v>291</v>
      </c>
      <c r="J38" s="55" t="s">
        <v>291</v>
      </c>
      <c r="K38" s="55" t="s">
        <v>291</v>
      </c>
      <c r="L38" s="55" t="s">
        <v>291</v>
      </c>
      <c r="M38" s="56" t="s">
        <v>285</v>
      </c>
      <c r="N38" s="55" t="s">
        <v>291</v>
      </c>
      <c r="O38" s="15" t="s">
        <v>291</v>
      </c>
      <c r="P38" s="58" t="s">
        <v>291</v>
      </c>
      <c r="Q38" s="24" t="s">
        <v>291</v>
      </c>
      <c r="R38" s="38" t="s">
        <v>285</v>
      </c>
      <c r="S38" s="24" t="s">
        <v>291</v>
      </c>
      <c r="T38" s="24" t="s">
        <v>291</v>
      </c>
      <c r="U38" s="25" t="s">
        <v>291</v>
      </c>
      <c r="V38" s="25" t="s">
        <v>291</v>
      </c>
      <c r="W38" s="79" t="s">
        <v>291</v>
      </c>
      <c r="X38" s="27" t="s">
        <v>291</v>
      </c>
      <c r="Y38" s="45" t="s">
        <v>285</v>
      </c>
      <c r="Z38" s="27" t="s">
        <v>291</v>
      </c>
      <c r="AA38" s="27" t="s">
        <v>291</v>
      </c>
      <c r="AB38" s="26" t="s">
        <v>291</v>
      </c>
      <c r="AC38" s="26" t="s">
        <v>291</v>
      </c>
      <c r="AD38" s="29" t="s">
        <v>285</v>
      </c>
      <c r="AE38" s="26" t="s">
        <v>291</v>
      </c>
      <c r="AF38" s="26" t="s">
        <v>291</v>
      </c>
      <c r="AG38" s="26" t="s">
        <v>291</v>
      </c>
      <c r="AH38" s="26" t="s">
        <v>291</v>
      </c>
      <c r="AI38" s="26" t="s">
        <v>291</v>
      </c>
      <c r="AJ38" s="26" t="s">
        <v>291</v>
      </c>
      <c r="AK38" s="29" t="s">
        <v>285</v>
      </c>
      <c r="AL38" s="26" t="s">
        <v>291</v>
      </c>
      <c r="AM38" s="26" t="s">
        <v>291</v>
      </c>
      <c r="AN38" s="26" t="s">
        <v>291</v>
      </c>
      <c r="AO38" s="29" t="s">
        <v>285</v>
      </c>
      <c r="AP38" s="27" t="s">
        <v>291</v>
      </c>
      <c r="AQ38" s="27" t="s">
        <v>291</v>
      </c>
      <c r="AR38" s="27" t="s">
        <v>291</v>
      </c>
      <c r="AS38" s="45" t="s">
        <v>285</v>
      </c>
      <c r="AT38" s="27" t="s">
        <v>291</v>
      </c>
      <c r="AU38" s="27" t="s">
        <v>291</v>
      </c>
      <c r="AV38" s="27" t="s">
        <v>291</v>
      </c>
      <c r="AW38" s="27" t="s">
        <v>291</v>
      </c>
      <c r="AX38" s="26" t="s">
        <v>291</v>
      </c>
      <c r="AY38" s="26" t="s">
        <v>291</v>
      </c>
      <c r="AZ38" s="26" t="s">
        <v>291</v>
      </c>
      <c r="BA38" s="26" t="s">
        <v>291</v>
      </c>
      <c r="BB38" s="26" t="s">
        <v>291</v>
      </c>
      <c r="BC38" s="50">
        <f t="shared" si="3"/>
        <v>8</v>
      </c>
      <c r="BD38" s="95">
        <f t="shared" si="4"/>
        <v>0</v>
      </c>
      <c r="BE38" s="114" t="s">
        <v>181</v>
      </c>
      <c r="BF38" s="114" t="s">
        <v>432</v>
      </c>
      <c r="BG38" s="133">
        <v>10</v>
      </c>
      <c r="BH38" s="133">
        <v>10</v>
      </c>
      <c r="BI38" s="130"/>
      <c r="BJ38" s="130"/>
      <c r="BK38">
        <f t="shared" si="2"/>
        <v>20</v>
      </c>
    </row>
    <row r="39" spans="1:63" ht="15.5" x14ac:dyDescent="0.35">
      <c r="A39" t="s">
        <v>182</v>
      </c>
      <c r="B39" s="14" t="s">
        <v>182</v>
      </c>
      <c r="C39" s="44" t="s">
        <v>183</v>
      </c>
      <c r="D39" s="55" t="s">
        <v>291</v>
      </c>
      <c r="E39" s="55" t="s">
        <v>291</v>
      </c>
      <c r="F39" s="55" t="s">
        <v>291</v>
      </c>
      <c r="G39" s="55" t="s">
        <v>291</v>
      </c>
      <c r="H39" s="55" t="s">
        <v>291</v>
      </c>
      <c r="I39" s="55" t="s">
        <v>291</v>
      </c>
      <c r="J39" s="55" t="s">
        <v>291</v>
      </c>
      <c r="K39" s="55" t="s">
        <v>291</v>
      </c>
      <c r="L39" s="55" t="s">
        <v>291</v>
      </c>
      <c r="M39" s="55" t="s">
        <v>291</v>
      </c>
      <c r="N39" s="55" t="s">
        <v>291</v>
      </c>
      <c r="O39" s="15" t="s">
        <v>291</v>
      </c>
      <c r="P39" s="58" t="s">
        <v>291</v>
      </c>
      <c r="Q39" s="24" t="s">
        <v>291</v>
      </c>
      <c r="R39" s="24" t="s">
        <v>291</v>
      </c>
      <c r="S39" s="24" t="s">
        <v>291</v>
      </c>
      <c r="T39" s="24" t="s">
        <v>291</v>
      </c>
      <c r="U39" s="25" t="s">
        <v>291</v>
      </c>
      <c r="V39" s="25" t="s">
        <v>291</v>
      </c>
      <c r="W39" s="79" t="s">
        <v>291</v>
      </c>
      <c r="X39" s="27" t="s">
        <v>291</v>
      </c>
      <c r="Y39" s="27" t="s">
        <v>291</v>
      </c>
      <c r="Z39" s="27" t="s">
        <v>291</v>
      </c>
      <c r="AA39" s="27" t="s">
        <v>291</v>
      </c>
      <c r="AB39" s="26" t="s">
        <v>291</v>
      </c>
      <c r="AC39" s="26" t="s">
        <v>291</v>
      </c>
      <c r="AD39" s="26" t="s">
        <v>291</v>
      </c>
      <c r="AE39" s="26" t="s">
        <v>291</v>
      </c>
      <c r="AF39" s="26" t="s">
        <v>291</v>
      </c>
      <c r="AG39" s="26" t="s">
        <v>291</v>
      </c>
      <c r="AH39" s="26" t="s">
        <v>291</v>
      </c>
      <c r="AI39" s="26" t="s">
        <v>291</v>
      </c>
      <c r="AJ39" s="26" t="s">
        <v>291</v>
      </c>
      <c r="AK39" s="26" t="s">
        <v>291</v>
      </c>
      <c r="AL39" s="26" t="s">
        <v>291</v>
      </c>
      <c r="AM39" s="26" t="s">
        <v>291</v>
      </c>
      <c r="AN39" s="26" t="s">
        <v>291</v>
      </c>
      <c r="AO39" s="26" t="s">
        <v>291</v>
      </c>
      <c r="AP39" s="27" t="s">
        <v>291</v>
      </c>
      <c r="AQ39" s="27" t="s">
        <v>291</v>
      </c>
      <c r="AR39" s="27" t="s">
        <v>291</v>
      </c>
      <c r="AS39" s="27" t="s">
        <v>291</v>
      </c>
      <c r="AT39" s="27" t="s">
        <v>291</v>
      </c>
      <c r="AU39" s="27" t="s">
        <v>291</v>
      </c>
      <c r="AV39" s="27" t="s">
        <v>291</v>
      </c>
      <c r="AW39" s="27" t="s">
        <v>291</v>
      </c>
      <c r="AX39" s="26" t="s">
        <v>291</v>
      </c>
      <c r="AY39" s="26" t="s">
        <v>291</v>
      </c>
      <c r="AZ39" s="26" t="s">
        <v>291</v>
      </c>
      <c r="BA39" s="26" t="s">
        <v>291</v>
      </c>
      <c r="BB39" s="29" t="s">
        <v>285</v>
      </c>
      <c r="BC39" s="50">
        <f t="shared" si="3"/>
        <v>1</v>
      </c>
      <c r="BD39" s="95">
        <f t="shared" si="4"/>
        <v>0</v>
      </c>
      <c r="BE39" s="114" t="s">
        <v>402</v>
      </c>
      <c r="BF39" s="114" t="s">
        <v>433</v>
      </c>
      <c r="BG39" s="133">
        <v>10</v>
      </c>
      <c r="BH39" s="133">
        <v>10</v>
      </c>
      <c r="BI39" s="130"/>
      <c r="BJ39" s="130"/>
      <c r="BK39">
        <f t="shared" si="2"/>
        <v>20</v>
      </c>
    </row>
    <row r="40" spans="1:63" ht="15.5" x14ac:dyDescent="0.35">
      <c r="A40" t="s">
        <v>184</v>
      </c>
      <c r="B40" s="14" t="s">
        <v>184</v>
      </c>
      <c r="C40" s="44" t="s">
        <v>100</v>
      </c>
      <c r="D40" s="55" t="s">
        <v>291</v>
      </c>
      <c r="E40" s="55" t="s">
        <v>291</v>
      </c>
      <c r="F40" s="55" t="s">
        <v>291</v>
      </c>
      <c r="G40" s="55" t="s">
        <v>291</v>
      </c>
      <c r="H40" s="55" t="s">
        <v>291</v>
      </c>
      <c r="I40" s="55" t="s">
        <v>291</v>
      </c>
      <c r="J40" s="55" t="s">
        <v>291</v>
      </c>
      <c r="K40" s="55" t="s">
        <v>291</v>
      </c>
      <c r="L40" s="55" t="s">
        <v>291</v>
      </c>
      <c r="M40" s="55" t="s">
        <v>291</v>
      </c>
      <c r="N40" s="55" t="s">
        <v>291</v>
      </c>
      <c r="O40" s="15" t="s">
        <v>291</v>
      </c>
      <c r="P40" s="58" t="s">
        <v>291</v>
      </c>
      <c r="Q40" s="24" t="s">
        <v>291</v>
      </c>
      <c r="R40" s="24" t="s">
        <v>291</v>
      </c>
      <c r="S40" s="24" t="s">
        <v>291</v>
      </c>
      <c r="T40" s="24" t="s">
        <v>291</v>
      </c>
      <c r="U40" s="25" t="s">
        <v>291</v>
      </c>
      <c r="V40" s="25" t="s">
        <v>291</v>
      </c>
      <c r="W40" s="79" t="s">
        <v>291</v>
      </c>
      <c r="X40" s="27" t="s">
        <v>291</v>
      </c>
      <c r="Y40" s="27" t="s">
        <v>291</v>
      </c>
      <c r="Z40" s="27" t="s">
        <v>291</v>
      </c>
      <c r="AA40" s="27" t="s">
        <v>291</v>
      </c>
      <c r="AB40" s="26" t="s">
        <v>291</v>
      </c>
      <c r="AC40" s="26" t="s">
        <v>291</v>
      </c>
      <c r="AD40" s="26" t="s">
        <v>291</v>
      </c>
      <c r="AE40" s="26" t="s">
        <v>291</v>
      </c>
      <c r="AF40" s="26" t="s">
        <v>291</v>
      </c>
      <c r="AG40" s="26" t="s">
        <v>291</v>
      </c>
      <c r="AH40" s="26" t="s">
        <v>291</v>
      </c>
      <c r="AI40" s="26" t="s">
        <v>291</v>
      </c>
      <c r="AJ40" s="26" t="s">
        <v>291</v>
      </c>
      <c r="AK40" s="26" t="s">
        <v>291</v>
      </c>
      <c r="AL40" s="26" t="s">
        <v>291</v>
      </c>
      <c r="AM40" s="26" t="s">
        <v>291</v>
      </c>
      <c r="AN40" s="26" t="s">
        <v>291</v>
      </c>
      <c r="AO40" s="26" t="s">
        <v>291</v>
      </c>
      <c r="AP40" s="27" t="s">
        <v>291</v>
      </c>
      <c r="AQ40" s="27" t="s">
        <v>291</v>
      </c>
      <c r="AR40" s="27" t="s">
        <v>291</v>
      </c>
      <c r="AS40" s="27" t="s">
        <v>291</v>
      </c>
      <c r="AT40" s="27" t="s">
        <v>291</v>
      </c>
      <c r="AU40" s="27" t="s">
        <v>291</v>
      </c>
      <c r="AV40" s="27" t="s">
        <v>291</v>
      </c>
      <c r="AW40" s="27" t="s">
        <v>291</v>
      </c>
      <c r="AX40" s="26" t="s">
        <v>291</v>
      </c>
      <c r="AY40" s="26" t="s">
        <v>291</v>
      </c>
      <c r="AZ40" s="26" t="s">
        <v>291</v>
      </c>
      <c r="BA40" s="26" t="s">
        <v>291</v>
      </c>
      <c r="BB40" s="26" t="s">
        <v>291</v>
      </c>
      <c r="BC40" s="50">
        <f t="shared" si="3"/>
        <v>0</v>
      </c>
      <c r="BD40" s="95">
        <f t="shared" si="4"/>
        <v>0</v>
      </c>
      <c r="BE40" s="114" t="s">
        <v>403</v>
      </c>
      <c r="BF40" s="114" t="s">
        <v>434</v>
      </c>
      <c r="BG40" s="133">
        <v>10</v>
      </c>
      <c r="BH40" s="133">
        <v>10</v>
      </c>
      <c r="BI40" s="130"/>
      <c r="BJ40" s="130"/>
      <c r="BK40">
        <f t="shared" si="2"/>
        <v>20</v>
      </c>
    </row>
    <row r="41" spans="1:63" ht="15.5" x14ac:dyDescent="0.35">
      <c r="A41" t="s">
        <v>185</v>
      </c>
      <c r="B41" s="14" t="s">
        <v>185</v>
      </c>
      <c r="C41" s="44" t="s">
        <v>102</v>
      </c>
      <c r="D41" s="55" t="s">
        <v>291</v>
      </c>
      <c r="E41" s="55" t="s">
        <v>291</v>
      </c>
      <c r="F41" s="55" t="s">
        <v>291</v>
      </c>
      <c r="G41" s="55" t="s">
        <v>291</v>
      </c>
      <c r="H41" s="55" t="s">
        <v>291</v>
      </c>
      <c r="I41" s="55" t="s">
        <v>291</v>
      </c>
      <c r="J41" s="55" t="s">
        <v>291</v>
      </c>
      <c r="K41" s="55" t="s">
        <v>291</v>
      </c>
      <c r="L41" s="55" t="s">
        <v>291</v>
      </c>
      <c r="M41" s="55" t="s">
        <v>291</v>
      </c>
      <c r="N41" s="55" t="s">
        <v>291</v>
      </c>
      <c r="O41" s="15" t="s">
        <v>291</v>
      </c>
      <c r="P41" s="58" t="s">
        <v>291</v>
      </c>
      <c r="Q41" s="43" t="s">
        <v>291</v>
      </c>
      <c r="R41" s="38" t="s">
        <v>285</v>
      </c>
      <c r="S41" s="24" t="s">
        <v>291</v>
      </c>
      <c r="T41" s="24" t="s">
        <v>291</v>
      </c>
      <c r="U41" s="25" t="s">
        <v>291</v>
      </c>
      <c r="V41" s="25" t="s">
        <v>291</v>
      </c>
      <c r="W41" s="79" t="s">
        <v>291</v>
      </c>
      <c r="X41" s="27" t="s">
        <v>291</v>
      </c>
      <c r="Y41" s="27" t="s">
        <v>291</v>
      </c>
      <c r="Z41" s="27" t="s">
        <v>291</v>
      </c>
      <c r="AA41" s="27" t="s">
        <v>291</v>
      </c>
      <c r="AB41" s="26" t="s">
        <v>291</v>
      </c>
      <c r="AC41" s="26" t="s">
        <v>291</v>
      </c>
      <c r="AD41" s="26" t="s">
        <v>291</v>
      </c>
      <c r="AE41" s="26" t="s">
        <v>291</v>
      </c>
      <c r="AF41" s="26" t="s">
        <v>291</v>
      </c>
      <c r="AG41" s="26" t="s">
        <v>291</v>
      </c>
      <c r="AH41" s="26" t="s">
        <v>291</v>
      </c>
      <c r="AI41" s="26" t="s">
        <v>291</v>
      </c>
      <c r="AJ41" s="26" t="s">
        <v>291</v>
      </c>
      <c r="AK41" s="26" t="s">
        <v>291</v>
      </c>
      <c r="AL41" s="26" t="s">
        <v>291</v>
      </c>
      <c r="AM41" s="26" t="s">
        <v>291</v>
      </c>
      <c r="AN41" s="26" t="s">
        <v>291</v>
      </c>
      <c r="AO41" s="26" t="s">
        <v>291</v>
      </c>
      <c r="AP41" s="27" t="s">
        <v>291</v>
      </c>
      <c r="AQ41" s="27" t="s">
        <v>291</v>
      </c>
      <c r="AR41" s="27" t="s">
        <v>291</v>
      </c>
      <c r="AS41" s="27" t="s">
        <v>291</v>
      </c>
      <c r="AT41" s="27" t="s">
        <v>291</v>
      </c>
      <c r="AU41" s="27" t="s">
        <v>291</v>
      </c>
      <c r="AV41" s="27" t="s">
        <v>291</v>
      </c>
      <c r="AW41" s="27" t="s">
        <v>291</v>
      </c>
      <c r="AX41" s="26" t="s">
        <v>291</v>
      </c>
      <c r="AY41" s="26" t="s">
        <v>291</v>
      </c>
      <c r="AZ41" s="26" t="s">
        <v>291</v>
      </c>
      <c r="BA41" s="26" t="s">
        <v>291</v>
      </c>
      <c r="BB41" s="26" t="s">
        <v>291</v>
      </c>
      <c r="BC41" s="50">
        <f t="shared" si="3"/>
        <v>1</v>
      </c>
      <c r="BD41" s="95">
        <f t="shared" si="4"/>
        <v>0</v>
      </c>
      <c r="BE41" s="114" t="s">
        <v>404</v>
      </c>
      <c r="BF41" s="114" t="s">
        <v>102</v>
      </c>
      <c r="BG41" s="133">
        <v>10</v>
      </c>
      <c r="BH41" s="133">
        <v>10</v>
      </c>
      <c r="BI41" s="130"/>
      <c r="BJ41" s="130"/>
      <c r="BK41">
        <f t="shared" si="2"/>
        <v>20</v>
      </c>
    </row>
    <row r="42" spans="1:63" ht="15.5" x14ac:dyDescent="0.35">
      <c r="A42" t="s">
        <v>186</v>
      </c>
      <c r="B42" s="14" t="s">
        <v>186</v>
      </c>
      <c r="C42" s="44" t="s">
        <v>187</v>
      </c>
      <c r="D42" s="55" t="s">
        <v>291</v>
      </c>
      <c r="E42" s="55" t="s">
        <v>291</v>
      </c>
      <c r="F42" s="55" t="s">
        <v>291</v>
      </c>
      <c r="G42" s="55" t="s">
        <v>291</v>
      </c>
      <c r="H42" s="55" t="s">
        <v>291</v>
      </c>
      <c r="I42" s="55" t="s">
        <v>291</v>
      </c>
      <c r="J42" s="55" t="s">
        <v>291</v>
      </c>
      <c r="K42" s="56" t="s">
        <v>285</v>
      </c>
      <c r="L42" s="55" t="s">
        <v>291</v>
      </c>
      <c r="M42" s="55" t="s">
        <v>291</v>
      </c>
      <c r="N42" s="55" t="s">
        <v>291</v>
      </c>
      <c r="O42" s="15" t="s">
        <v>291</v>
      </c>
      <c r="P42" s="58" t="s">
        <v>291</v>
      </c>
      <c r="Q42" s="24" t="s">
        <v>291</v>
      </c>
      <c r="R42" s="24" t="s">
        <v>291</v>
      </c>
      <c r="S42" s="24" t="s">
        <v>291</v>
      </c>
      <c r="T42" s="24" t="s">
        <v>291</v>
      </c>
      <c r="U42" s="25" t="s">
        <v>291</v>
      </c>
      <c r="V42" s="25" t="s">
        <v>291</v>
      </c>
      <c r="W42" s="79" t="s">
        <v>291</v>
      </c>
      <c r="X42" s="27" t="s">
        <v>291</v>
      </c>
      <c r="Y42" s="45" t="s">
        <v>285</v>
      </c>
      <c r="Z42" s="27" t="s">
        <v>291</v>
      </c>
      <c r="AA42" s="27" t="s">
        <v>291</v>
      </c>
      <c r="AB42" s="26" t="s">
        <v>291</v>
      </c>
      <c r="AC42" s="26" t="s">
        <v>291</v>
      </c>
      <c r="AD42" s="26" t="s">
        <v>291</v>
      </c>
      <c r="AE42" s="26" t="s">
        <v>291</v>
      </c>
      <c r="AF42" s="26" t="s">
        <v>291</v>
      </c>
      <c r="AG42" s="26" t="s">
        <v>291</v>
      </c>
      <c r="AH42" s="26" t="s">
        <v>292</v>
      </c>
      <c r="AI42" s="26" t="s">
        <v>291</v>
      </c>
      <c r="AJ42" s="26" t="s">
        <v>291</v>
      </c>
      <c r="AK42" s="26" t="s">
        <v>291</v>
      </c>
      <c r="AL42" s="26" t="s">
        <v>291</v>
      </c>
      <c r="AM42" s="26" t="s">
        <v>291</v>
      </c>
      <c r="AN42" s="26" t="s">
        <v>291</v>
      </c>
      <c r="AO42" s="26" t="s">
        <v>291</v>
      </c>
      <c r="AP42" s="27" t="s">
        <v>291</v>
      </c>
      <c r="AQ42" s="27" t="s">
        <v>291</v>
      </c>
      <c r="AR42" s="27" t="s">
        <v>291</v>
      </c>
      <c r="AS42" s="27" t="s">
        <v>291</v>
      </c>
      <c r="AT42" s="27" t="s">
        <v>291</v>
      </c>
      <c r="AU42" s="27" t="s">
        <v>291</v>
      </c>
      <c r="AV42" s="45" t="s">
        <v>285</v>
      </c>
      <c r="AW42" s="27" t="s">
        <v>291</v>
      </c>
      <c r="AX42" s="26" t="s">
        <v>291</v>
      </c>
      <c r="AY42" s="26" t="s">
        <v>291</v>
      </c>
      <c r="AZ42" s="26" t="s">
        <v>291</v>
      </c>
      <c r="BA42" s="26" t="s">
        <v>291</v>
      </c>
      <c r="BB42" s="26" t="s">
        <v>291</v>
      </c>
      <c r="BC42" s="50">
        <f t="shared" si="3"/>
        <v>3</v>
      </c>
      <c r="BD42" s="95">
        <f t="shared" si="4"/>
        <v>1</v>
      </c>
      <c r="BE42" s="114" t="s">
        <v>186</v>
      </c>
      <c r="BF42" s="114" t="s">
        <v>435</v>
      </c>
      <c r="BG42" s="133">
        <v>10</v>
      </c>
      <c r="BH42" s="133">
        <v>10</v>
      </c>
      <c r="BI42" s="130"/>
      <c r="BJ42" s="130"/>
      <c r="BK42">
        <f t="shared" si="2"/>
        <v>20</v>
      </c>
    </row>
    <row r="43" spans="1:63" ht="15.5" x14ac:dyDescent="0.35">
      <c r="A43" t="s">
        <v>188</v>
      </c>
      <c r="B43" s="14" t="s">
        <v>188</v>
      </c>
      <c r="C43" s="44" t="s">
        <v>189</v>
      </c>
      <c r="D43" s="55" t="s">
        <v>291</v>
      </c>
      <c r="E43" s="55" t="s">
        <v>291</v>
      </c>
      <c r="F43" s="55" t="s">
        <v>291</v>
      </c>
      <c r="G43" s="55" t="s">
        <v>291</v>
      </c>
      <c r="H43" s="55" t="s">
        <v>291</v>
      </c>
      <c r="I43" s="55" t="s">
        <v>291</v>
      </c>
      <c r="J43" s="55" t="s">
        <v>291</v>
      </c>
      <c r="K43" s="55" t="s">
        <v>291</v>
      </c>
      <c r="L43" s="56" t="s">
        <v>285</v>
      </c>
      <c r="M43" s="56" t="s">
        <v>285</v>
      </c>
      <c r="N43" s="55" t="s">
        <v>291</v>
      </c>
      <c r="O43" s="15" t="s">
        <v>291</v>
      </c>
      <c r="P43" s="58" t="s">
        <v>291</v>
      </c>
      <c r="Q43" s="38" t="s">
        <v>285</v>
      </c>
      <c r="R43" s="24" t="s">
        <v>291</v>
      </c>
      <c r="S43" s="24" t="s">
        <v>291</v>
      </c>
      <c r="T43" s="24" t="s">
        <v>291</v>
      </c>
      <c r="U43" s="25" t="s">
        <v>291</v>
      </c>
      <c r="V43" s="25" t="s">
        <v>291</v>
      </c>
      <c r="W43" s="79" t="s">
        <v>291</v>
      </c>
      <c r="X43" s="27" t="s">
        <v>291</v>
      </c>
      <c r="Y43" s="27" t="s">
        <v>291</v>
      </c>
      <c r="Z43" s="27" t="s">
        <v>291</v>
      </c>
      <c r="AA43" s="27" t="s">
        <v>291</v>
      </c>
      <c r="AB43" s="26" t="s">
        <v>291</v>
      </c>
      <c r="AC43" s="26" t="s">
        <v>291</v>
      </c>
      <c r="AD43" s="26" t="s">
        <v>291</v>
      </c>
      <c r="AE43" s="26" t="s">
        <v>291</v>
      </c>
      <c r="AF43" s="26" t="s">
        <v>291</v>
      </c>
      <c r="AG43" s="26" t="s">
        <v>291</v>
      </c>
      <c r="AH43" s="26" t="s">
        <v>291</v>
      </c>
      <c r="AI43" s="26" t="s">
        <v>291</v>
      </c>
      <c r="AJ43" s="26" t="s">
        <v>291</v>
      </c>
      <c r="AK43" s="29" t="s">
        <v>285</v>
      </c>
      <c r="AL43" s="26" t="s">
        <v>291</v>
      </c>
      <c r="AM43" s="26" t="s">
        <v>291</v>
      </c>
      <c r="AN43" s="26" t="s">
        <v>291</v>
      </c>
      <c r="AO43" s="26" t="s">
        <v>291</v>
      </c>
      <c r="AP43" s="27" t="s">
        <v>291</v>
      </c>
      <c r="AQ43" s="27" t="s">
        <v>291</v>
      </c>
      <c r="AR43" s="27" t="s">
        <v>291</v>
      </c>
      <c r="AS43" s="27" t="s">
        <v>291</v>
      </c>
      <c r="AT43" s="27" t="s">
        <v>291</v>
      </c>
      <c r="AU43" s="27" t="s">
        <v>291</v>
      </c>
      <c r="AV43" s="27" t="s">
        <v>291</v>
      </c>
      <c r="AW43" s="27" t="s">
        <v>291</v>
      </c>
      <c r="AX43" s="26" t="s">
        <v>291</v>
      </c>
      <c r="AY43" s="26" t="s">
        <v>291</v>
      </c>
      <c r="AZ43" s="26" t="s">
        <v>291</v>
      </c>
      <c r="BA43" s="26" t="s">
        <v>291</v>
      </c>
      <c r="BB43" s="26" t="s">
        <v>291</v>
      </c>
      <c r="BC43" s="50">
        <f t="shared" si="3"/>
        <v>4</v>
      </c>
      <c r="BD43" s="95">
        <f t="shared" si="4"/>
        <v>0</v>
      </c>
      <c r="BE43" s="114" t="s">
        <v>405</v>
      </c>
      <c r="BF43" s="114" t="s">
        <v>436</v>
      </c>
      <c r="BG43" s="133">
        <v>10</v>
      </c>
      <c r="BH43" s="133">
        <v>10</v>
      </c>
      <c r="BI43" s="130"/>
      <c r="BJ43" s="130"/>
      <c r="BK43">
        <f t="shared" si="2"/>
        <v>20</v>
      </c>
    </row>
    <row r="44" spans="1:63" ht="15.5" x14ac:dyDescent="0.35">
      <c r="A44" t="s">
        <v>190</v>
      </c>
      <c r="B44" s="14" t="s">
        <v>190</v>
      </c>
      <c r="C44" s="44" t="s">
        <v>191</v>
      </c>
      <c r="D44" s="55" t="s">
        <v>291</v>
      </c>
      <c r="E44" s="55" t="s">
        <v>291</v>
      </c>
      <c r="F44" s="55" t="s">
        <v>291</v>
      </c>
      <c r="G44" s="55" t="s">
        <v>291</v>
      </c>
      <c r="H44" s="55" t="s">
        <v>291</v>
      </c>
      <c r="I44" s="55" t="s">
        <v>291</v>
      </c>
      <c r="J44" s="55" t="s">
        <v>291</v>
      </c>
      <c r="K44" s="55" t="s">
        <v>291</v>
      </c>
      <c r="L44" s="55" t="s">
        <v>291</v>
      </c>
      <c r="M44" s="55" t="s">
        <v>291</v>
      </c>
      <c r="N44" s="55" t="s">
        <v>291</v>
      </c>
      <c r="O44" s="15" t="s">
        <v>291</v>
      </c>
      <c r="P44" s="58" t="s">
        <v>291</v>
      </c>
      <c r="Q44" s="24" t="s">
        <v>291</v>
      </c>
      <c r="R44" s="24" t="s">
        <v>291</v>
      </c>
      <c r="S44" s="24" t="s">
        <v>291</v>
      </c>
      <c r="T44" s="24" t="s">
        <v>291</v>
      </c>
      <c r="U44" s="25" t="s">
        <v>291</v>
      </c>
      <c r="V44" s="25" t="s">
        <v>291</v>
      </c>
      <c r="W44" s="79" t="s">
        <v>291</v>
      </c>
      <c r="X44" s="27" t="s">
        <v>291</v>
      </c>
      <c r="Y44" s="27" t="s">
        <v>291</v>
      </c>
      <c r="Z44" s="27" t="s">
        <v>291</v>
      </c>
      <c r="AA44" s="27" t="s">
        <v>291</v>
      </c>
      <c r="AB44" s="26" t="s">
        <v>291</v>
      </c>
      <c r="AC44" s="26" t="s">
        <v>291</v>
      </c>
      <c r="AD44" s="26" t="s">
        <v>291</v>
      </c>
      <c r="AE44" s="26" t="s">
        <v>291</v>
      </c>
      <c r="AF44" s="26" t="s">
        <v>291</v>
      </c>
      <c r="AG44" s="30" t="s">
        <v>291</v>
      </c>
      <c r="AH44" s="26" t="s">
        <v>291</v>
      </c>
      <c r="AI44" s="26" t="s">
        <v>291</v>
      </c>
      <c r="AJ44" s="26" t="s">
        <v>291</v>
      </c>
      <c r="AK44" s="26" t="s">
        <v>291</v>
      </c>
      <c r="AL44" s="26" t="s">
        <v>291</v>
      </c>
      <c r="AM44" s="26" t="s">
        <v>291</v>
      </c>
      <c r="AN44" s="26" t="s">
        <v>291</v>
      </c>
      <c r="AO44" s="26" t="s">
        <v>291</v>
      </c>
      <c r="AP44" s="27" t="s">
        <v>291</v>
      </c>
      <c r="AQ44" s="27" t="s">
        <v>291</v>
      </c>
      <c r="AR44" s="27" t="s">
        <v>291</v>
      </c>
      <c r="AS44" s="27" t="s">
        <v>291</v>
      </c>
      <c r="AT44" s="27" t="s">
        <v>291</v>
      </c>
      <c r="AU44" s="27" t="s">
        <v>291</v>
      </c>
      <c r="AV44" s="27" t="s">
        <v>291</v>
      </c>
      <c r="AW44" s="27" t="s">
        <v>291</v>
      </c>
      <c r="AX44" s="29" t="s">
        <v>285</v>
      </c>
      <c r="AY44" s="26" t="s">
        <v>291</v>
      </c>
      <c r="AZ44" s="26" t="s">
        <v>291</v>
      </c>
      <c r="BA44" s="26" t="s">
        <v>291</v>
      </c>
      <c r="BB44" s="26" t="s">
        <v>291</v>
      </c>
      <c r="BC44" s="50">
        <f t="shared" si="3"/>
        <v>1</v>
      </c>
      <c r="BD44" s="95">
        <f t="shared" si="4"/>
        <v>0</v>
      </c>
      <c r="BE44" s="114" t="s">
        <v>406</v>
      </c>
      <c r="BF44" s="114" t="s">
        <v>437</v>
      </c>
      <c r="BG44" s="133">
        <v>10</v>
      </c>
      <c r="BH44" s="133">
        <v>10</v>
      </c>
      <c r="BI44" s="130"/>
      <c r="BJ44" s="130"/>
      <c r="BK44">
        <f t="shared" si="2"/>
        <v>20</v>
      </c>
    </row>
    <row r="45" spans="1:63" ht="15.5" x14ac:dyDescent="0.35">
      <c r="A45" t="s">
        <v>192</v>
      </c>
      <c r="B45" s="14" t="s">
        <v>192</v>
      </c>
      <c r="C45" s="44" t="s">
        <v>193</v>
      </c>
      <c r="D45" s="55" t="s">
        <v>291</v>
      </c>
      <c r="E45" s="55" t="s">
        <v>291</v>
      </c>
      <c r="F45" s="55" t="s">
        <v>291</v>
      </c>
      <c r="G45" s="55" t="s">
        <v>291</v>
      </c>
      <c r="H45" s="55" t="s">
        <v>291</v>
      </c>
      <c r="I45" s="55" t="s">
        <v>291</v>
      </c>
      <c r="J45" s="55" t="s">
        <v>291</v>
      </c>
      <c r="K45" s="55" t="s">
        <v>291</v>
      </c>
      <c r="L45" s="55" t="s">
        <v>291</v>
      </c>
      <c r="M45" s="55" t="s">
        <v>291</v>
      </c>
      <c r="N45" s="55" t="s">
        <v>291</v>
      </c>
      <c r="O45" s="32" t="s">
        <v>285</v>
      </c>
      <c r="P45" s="58" t="s">
        <v>291</v>
      </c>
      <c r="Q45" s="43" t="s">
        <v>291</v>
      </c>
      <c r="R45" s="24" t="s">
        <v>291</v>
      </c>
      <c r="S45" s="24" t="s">
        <v>291</v>
      </c>
      <c r="T45" s="24" t="s">
        <v>291</v>
      </c>
      <c r="U45" s="25" t="s">
        <v>291</v>
      </c>
      <c r="V45" s="25" t="s">
        <v>291</v>
      </c>
      <c r="W45" s="79" t="s">
        <v>291</v>
      </c>
      <c r="X45" s="27" t="s">
        <v>291</v>
      </c>
      <c r="Y45" s="27" t="s">
        <v>291</v>
      </c>
      <c r="Z45" s="27" t="s">
        <v>291</v>
      </c>
      <c r="AA45" s="27" t="s">
        <v>291</v>
      </c>
      <c r="AB45" s="26" t="s">
        <v>291</v>
      </c>
      <c r="AC45" s="26" t="s">
        <v>291</v>
      </c>
      <c r="AD45" s="26" t="s">
        <v>291</v>
      </c>
      <c r="AE45" s="26" t="s">
        <v>291</v>
      </c>
      <c r="AF45" s="26" t="s">
        <v>291</v>
      </c>
      <c r="AG45" s="26" t="s">
        <v>291</v>
      </c>
      <c r="AH45" s="26" t="s">
        <v>291</v>
      </c>
      <c r="AI45" s="26" t="s">
        <v>291</v>
      </c>
      <c r="AJ45" s="26" t="s">
        <v>291</v>
      </c>
      <c r="AK45" s="26" t="s">
        <v>291</v>
      </c>
      <c r="AL45" s="26" t="s">
        <v>291</v>
      </c>
      <c r="AM45" s="26" t="s">
        <v>291</v>
      </c>
      <c r="AN45" s="26" t="s">
        <v>291</v>
      </c>
      <c r="AO45" s="26" t="s">
        <v>291</v>
      </c>
      <c r="AP45" s="27" t="s">
        <v>291</v>
      </c>
      <c r="AQ45" s="27" t="s">
        <v>291</v>
      </c>
      <c r="AR45" s="27" t="s">
        <v>291</v>
      </c>
      <c r="AS45" s="27" t="s">
        <v>291</v>
      </c>
      <c r="AT45" s="27" t="s">
        <v>291</v>
      </c>
      <c r="AU45" s="27" t="s">
        <v>291</v>
      </c>
      <c r="AV45" s="27" t="s">
        <v>291</v>
      </c>
      <c r="AW45" s="27" t="s">
        <v>291</v>
      </c>
      <c r="AX45" s="26" t="s">
        <v>291</v>
      </c>
      <c r="AY45" s="26" t="s">
        <v>291</v>
      </c>
      <c r="AZ45" s="26" t="s">
        <v>291</v>
      </c>
      <c r="BA45" s="26" t="s">
        <v>291</v>
      </c>
      <c r="BB45" s="26" t="s">
        <v>291</v>
      </c>
      <c r="BC45" s="50">
        <f t="shared" si="3"/>
        <v>1</v>
      </c>
      <c r="BD45" s="95">
        <f t="shared" si="4"/>
        <v>0</v>
      </c>
      <c r="BE45" s="114" t="s">
        <v>407</v>
      </c>
      <c r="BF45" s="114" t="s">
        <v>438</v>
      </c>
      <c r="BG45" s="133">
        <v>10</v>
      </c>
      <c r="BH45" s="133">
        <v>10</v>
      </c>
      <c r="BI45" s="130"/>
      <c r="BJ45" s="130"/>
      <c r="BK45">
        <f t="shared" si="2"/>
        <v>20</v>
      </c>
    </row>
    <row r="46" spans="1:63" ht="15.5" x14ac:dyDescent="0.35">
      <c r="A46" t="s">
        <v>194</v>
      </c>
      <c r="B46" s="14" t="s">
        <v>194</v>
      </c>
      <c r="C46" s="44" t="s">
        <v>195</v>
      </c>
      <c r="D46" s="55" t="s">
        <v>291</v>
      </c>
      <c r="E46" s="55" t="s">
        <v>291</v>
      </c>
      <c r="F46" s="55" t="s">
        <v>291</v>
      </c>
      <c r="G46" s="55" t="s">
        <v>291</v>
      </c>
      <c r="H46" s="55" t="s">
        <v>291</v>
      </c>
      <c r="I46" s="55" t="s">
        <v>291</v>
      </c>
      <c r="J46" s="55" t="s">
        <v>291</v>
      </c>
      <c r="K46" s="55" t="s">
        <v>291</v>
      </c>
      <c r="L46" s="55" t="s">
        <v>291</v>
      </c>
      <c r="M46" s="55" t="s">
        <v>291</v>
      </c>
      <c r="N46" s="55" t="s">
        <v>291</v>
      </c>
      <c r="O46" s="15" t="s">
        <v>291</v>
      </c>
      <c r="P46" s="58" t="s">
        <v>291</v>
      </c>
      <c r="Q46" s="24" t="s">
        <v>291</v>
      </c>
      <c r="R46" s="24" t="s">
        <v>291</v>
      </c>
      <c r="S46" s="24" t="s">
        <v>291</v>
      </c>
      <c r="T46" s="24" t="s">
        <v>291</v>
      </c>
      <c r="U46" s="25" t="s">
        <v>291</v>
      </c>
      <c r="V46" s="25" t="s">
        <v>291</v>
      </c>
      <c r="W46" s="79" t="s">
        <v>291</v>
      </c>
      <c r="X46" s="27" t="s">
        <v>291</v>
      </c>
      <c r="Y46" s="27" t="s">
        <v>291</v>
      </c>
      <c r="Z46" s="45" t="s">
        <v>285</v>
      </c>
      <c r="AA46" s="27" t="s">
        <v>291</v>
      </c>
      <c r="AB46" s="26" t="s">
        <v>291</v>
      </c>
      <c r="AC46" s="26" t="s">
        <v>291</v>
      </c>
      <c r="AD46" s="26" t="s">
        <v>291</v>
      </c>
      <c r="AE46" s="26" t="s">
        <v>291</v>
      </c>
      <c r="AF46" s="26" t="s">
        <v>291</v>
      </c>
      <c r="AG46" s="26" t="s">
        <v>291</v>
      </c>
      <c r="AH46" s="26" t="s">
        <v>291</v>
      </c>
      <c r="AI46" s="26" t="s">
        <v>291</v>
      </c>
      <c r="AJ46" s="26" t="s">
        <v>291</v>
      </c>
      <c r="AK46" s="26" t="s">
        <v>291</v>
      </c>
      <c r="AL46" s="26" t="s">
        <v>291</v>
      </c>
      <c r="AM46" s="26" t="s">
        <v>291</v>
      </c>
      <c r="AN46" s="26" t="s">
        <v>291</v>
      </c>
      <c r="AO46" s="26" t="s">
        <v>291</v>
      </c>
      <c r="AP46" s="27" t="s">
        <v>291</v>
      </c>
      <c r="AQ46" s="27" t="s">
        <v>291</v>
      </c>
      <c r="AR46" s="27" t="s">
        <v>291</v>
      </c>
      <c r="AS46" s="27" t="s">
        <v>291</v>
      </c>
      <c r="AT46" s="27" t="s">
        <v>291</v>
      </c>
      <c r="AU46" s="27" t="s">
        <v>291</v>
      </c>
      <c r="AV46" s="27" t="s">
        <v>291</v>
      </c>
      <c r="AW46" s="27" t="s">
        <v>291</v>
      </c>
      <c r="AX46" s="26" t="s">
        <v>291</v>
      </c>
      <c r="AY46" s="26" t="s">
        <v>291</v>
      </c>
      <c r="AZ46" s="26" t="s">
        <v>291</v>
      </c>
      <c r="BA46" s="26" t="s">
        <v>291</v>
      </c>
      <c r="BB46" s="26" t="s">
        <v>291</v>
      </c>
      <c r="BC46" s="50">
        <f t="shared" si="3"/>
        <v>1</v>
      </c>
      <c r="BD46" s="95">
        <f t="shared" si="4"/>
        <v>0</v>
      </c>
      <c r="BE46" s="114" t="s">
        <v>408</v>
      </c>
      <c r="BF46" s="114" t="s">
        <v>439</v>
      </c>
      <c r="BG46" s="133">
        <v>10</v>
      </c>
      <c r="BH46" s="133">
        <v>10</v>
      </c>
      <c r="BI46" s="130"/>
      <c r="BJ46" s="130"/>
      <c r="BK46">
        <f t="shared" si="2"/>
        <v>20</v>
      </c>
    </row>
    <row r="47" spans="1:63" ht="15.5" x14ac:dyDescent="0.35">
      <c r="A47" t="s">
        <v>196</v>
      </c>
      <c r="B47" s="14" t="s">
        <v>196</v>
      </c>
      <c r="C47" s="44" t="s">
        <v>117</v>
      </c>
      <c r="D47" s="55" t="s">
        <v>291</v>
      </c>
      <c r="E47" s="56" t="s">
        <v>285</v>
      </c>
      <c r="F47" s="55" t="s">
        <v>291</v>
      </c>
      <c r="G47" s="55" t="s">
        <v>291</v>
      </c>
      <c r="H47" s="55" t="s">
        <v>291</v>
      </c>
      <c r="I47" s="55" t="s">
        <v>291</v>
      </c>
      <c r="J47" s="55" t="s">
        <v>291</v>
      </c>
      <c r="K47" s="55" t="s">
        <v>291</v>
      </c>
      <c r="L47" s="55" t="s">
        <v>291</v>
      </c>
      <c r="M47" s="55" t="s">
        <v>291</v>
      </c>
      <c r="N47" s="55" t="s">
        <v>291</v>
      </c>
      <c r="O47" s="15" t="s">
        <v>291</v>
      </c>
      <c r="P47" s="58" t="s">
        <v>291</v>
      </c>
      <c r="Q47" s="24" t="s">
        <v>291</v>
      </c>
      <c r="R47" s="24" t="s">
        <v>291</v>
      </c>
      <c r="S47" s="24" t="s">
        <v>291</v>
      </c>
      <c r="T47" s="24" t="s">
        <v>291</v>
      </c>
      <c r="U47" s="25" t="s">
        <v>291</v>
      </c>
      <c r="V47" s="25" t="s">
        <v>291</v>
      </c>
      <c r="W47" s="79" t="s">
        <v>291</v>
      </c>
      <c r="X47" s="27" t="s">
        <v>291</v>
      </c>
      <c r="Y47" s="27" t="s">
        <v>291</v>
      </c>
      <c r="Z47" s="27" t="s">
        <v>291</v>
      </c>
      <c r="AA47" s="45" t="s">
        <v>285</v>
      </c>
      <c r="AB47" s="26" t="s">
        <v>291</v>
      </c>
      <c r="AC47" s="26" t="s">
        <v>291</v>
      </c>
      <c r="AD47" s="26" t="s">
        <v>291</v>
      </c>
      <c r="AE47" s="26" t="s">
        <v>291</v>
      </c>
      <c r="AF47" s="26" t="s">
        <v>291</v>
      </c>
      <c r="AG47" s="26" t="s">
        <v>291</v>
      </c>
      <c r="AH47" s="26" t="s">
        <v>291</v>
      </c>
      <c r="AI47" s="26" t="s">
        <v>291</v>
      </c>
      <c r="AJ47" s="26" t="s">
        <v>291</v>
      </c>
      <c r="AK47" s="26" t="s">
        <v>291</v>
      </c>
      <c r="AL47" s="26" t="s">
        <v>291</v>
      </c>
      <c r="AM47" s="26" t="s">
        <v>291</v>
      </c>
      <c r="AN47" s="26" t="s">
        <v>291</v>
      </c>
      <c r="AO47" s="29" t="s">
        <v>285</v>
      </c>
      <c r="AP47" s="27" t="s">
        <v>291</v>
      </c>
      <c r="AQ47" s="27" t="s">
        <v>291</v>
      </c>
      <c r="AR47" s="27" t="s">
        <v>291</v>
      </c>
      <c r="AS47" s="27" t="s">
        <v>291</v>
      </c>
      <c r="AT47" s="27" t="s">
        <v>291</v>
      </c>
      <c r="AU47" s="27" t="s">
        <v>291</v>
      </c>
      <c r="AV47" s="27" t="s">
        <v>291</v>
      </c>
      <c r="AW47" s="27" t="s">
        <v>291</v>
      </c>
      <c r="AX47" s="26" t="s">
        <v>291</v>
      </c>
      <c r="AY47" s="26" t="s">
        <v>291</v>
      </c>
      <c r="AZ47" s="26" t="s">
        <v>291</v>
      </c>
      <c r="BA47" s="26" t="s">
        <v>291</v>
      </c>
      <c r="BB47" s="26" t="s">
        <v>291</v>
      </c>
      <c r="BC47" s="50">
        <f t="shared" si="3"/>
        <v>3</v>
      </c>
      <c r="BD47" s="95">
        <f t="shared" si="4"/>
        <v>0</v>
      </c>
      <c r="BE47" s="114" t="s">
        <v>409</v>
      </c>
      <c r="BF47" s="114" t="s">
        <v>440</v>
      </c>
      <c r="BG47" s="133">
        <v>10</v>
      </c>
      <c r="BH47" s="133">
        <v>10</v>
      </c>
      <c r="BI47" s="130"/>
      <c r="BJ47" s="130"/>
      <c r="BK47">
        <f t="shared" si="2"/>
        <v>20</v>
      </c>
    </row>
    <row r="48" spans="1:63" ht="15.5" x14ac:dyDescent="0.35">
      <c r="A48" t="s">
        <v>197</v>
      </c>
      <c r="B48" s="14" t="s">
        <v>197</v>
      </c>
      <c r="C48" s="44" t="s">
        <v>198</v>
      </c>
      <c r="D48" s="56" t="s">
        <v>285</v>
      </c>
      <c r="E48" s="55" t="s">
        <v>291</v>
      </c>
      <c r="F48" s="55" t="s">
        <v>291</v>
      </c>
      <c r="G48" s="55" t="s">
        <v>291</v>
      </c>
      <c r="H48" s="55" t="s">
        <v>291</v>
      </c>
      <c r="I48" s="55" t="s">
        <v>291</v>
      </c>
      <c r="J48" s="55" t="s">
        <v>291</v>
      </c>
      <c r="K48" s="55" t="s">
        <v>291</v>
      </c>
      <c r="L48" s="55" t="s">
        <v>291</v>
      </c>
      <c r="M48" s="55" t="s">
        <v>291</v>
      </c>
      <c r="N48" s="55" t="s">
        <v>291</v>
      </c>
      <c r="O48" s="15" t="s">
        <v>291</v>
      </c>
      <c r="P48" s="58" t="s">
        <v>291</v>
      </c>
      <c r="Q48" s="24" t="s">
        <v>291</v>
      </c>
      <c r="R48" s="24" t="s">
        <v>291</v>
      </c>
      <c r="S48" s="24" t="s">
        <v>291</v>
      </c>
      <c r="T48" s="24" t="s">
        <v>291</v>
      </c>
      <c r="U48" s="25" t="s">
        <v>291</v>
      </c>
      <c r="V48" s="25" t="s">
        <v>291</v>
      </c>
      <c r="W48" s="79" t="s">
        <v>291</v>
      </c>
      <c r="X48" s="27" t="s">
        <v>291</v>
      </c>
      <c r="Y48" s="27" t="s">
        <v>291</v>
      </c>
      <c r="Z48" s="27" t="s">
        <v>291</v>
      </c>
      <c r="AA48" s="45" t="s">
        <v>285</v>
      </c>
      <c r="AB48" s="26" t="s">
        <v>291</v>
      </c>
      <c r="AC48" s="26" t="s">
        <v>291</v>
      </c>
      <c r="AD48" s="29" t="s">
        <v>285</v>
      </c>
      <c r="AE48" s="26" t="s">
        <v>291</v>
      </c>
      <c r="AF48" s="26" t="s">
        <v>291</v>
      </c>
      <c r="AG48" s="26" t="s">
        <v>291</v>
      </c>
      <c r="AH48" s="26" t="s">
        <v>291</v>
      </c>
      <c r="AI48" s="26" t="s">
        <v>291</v>
      </c>
      <c r="AJ48" s="26" t="s">
        <v>291</v>
      </c>
      <c r="AK48" s="26" t="s">
        <v>291</v>
      </c>
      <c r="AL48" s="29" t="s">
        <v>285</v>
      </c>
      <c r="AM48" s="29" t="s">
        <v>285</v>
      </c>
      <c r="AN48" s="26" t="s">
        <v>291</v>
      </c>
      <c r="AO48" s="26" t="s">
        <v>291</v>
      </c>
      <c r="AP48" s="27" t="s">
        <v>291</v>
      </c>
      <c r="AQ48" s="27" t="s">
        <v>291</v>
      </c>
      <c r="AR48" s="27" t="s">
        <v>291</v>
      </c>
      <c r="AS48" s="27" t="s">
        <v>291</v>
      </c>
      <c r="AT48" s="27" t="s">
        <v>291</v>
      </c>
      <c r="AU48" s="27" t="s">
        <v>291</v>
      </c>
      <c r="AV48" s="27" t="s">
        <v>291</v>
      </c>
      <c r="AW48" s="27" t="s">
        <v>291</v>
      </c>
      <c r="AX48" s="26" t="s">
        <v>291</v>
      </c>
      <c r="AY48" s="26" t="s">
        <v>291</v>
      </c>
      <c r="AZ48" s="26" t="s">
        <v>291</v>
      </c>
      <c r="BA48" s="29" t="s">
        <v>285</v>
      </c>
      <c r="BB48" s="26" t="s">
        <v>291</v>
      </c>
      <c r="BC48" s="50">
        <f t="shared" si="3"/>
        <v>6</v>
      </c>
      <c r="BD48" s="95">
        <f t="shared" si="4"/>
        <v>0</v>
      </c>
      <c r="BE48" s="114" t="s">
        <v>410</v>
      </c>
      <c r="BF48" s="114" t="s">
        <v>441</v>
      </c>
      <c r="BG48" s="133">
        <v>10</v>
      </c>
      <c r="BH48" s="133">
        <v>10</v>
      </c>
      <c r="BI48" s="130"/>
      <c r="BJ48" s="130"/>
      <c r="BK48">
        <f t="shared" si="2"/>
        <v>20</v>
      </c>
    </row>
    <row r="49" spans="1:63" ht="15.5" x14ac:dyDescent="0.35">
      <c r="A49" t="s">
        <v>199</v>
      </c>
      <c r="B49" s="14" t="s">
        <v>199</v>
      </c>
      <c r="C49" s="44" t="s">
        <v>119</v>
      </c>
      <c r="D49" s="55" t="s">
        <v>291</v>
      </c>
      <c r="E49" s="55" t="s">
        <v>291</v>
      </c>
      <c r="F49" s="55" t="s">
        <v>291</v>
      </c>
      <c r="G49" s="55" t="s">
        <v>291</v>
      </c>
      <c r="H49" s="55" t="s">
        <v>291</v>
      </c>
      <c r="I49" s="55" t="s">
        <v>291</v>
      </c>
      <c r="J49" s="55" t="s">
        <v>291</v>
      </c>
      <c r="K49" s="55" t="s">
        <v>291</v>
      </c>
      <c r="L49" s="55" t="s">
        <v>291</v>
      </c>
      <c r="M49" s="55" t="s">
        <v>291</v>
      </c>
      <c r="N49" s="55" t="s">
        <v>291</v>
      </c>
      <c r="O49" s="82" t="s">
        <v>285</v>
      </c>
      <c r="P49" s="58" t="s">
        <v>291</v>
      </c>
      <c r="Q49" s="24" t="s">
        <v>291</v>
      </c>
      <c r="R49" s="38" t="s">
        <v>285</v>
      </c>
      <c r="S49" s="24" t="s">
        <v>291</v>
      </c>
      <c r="T49" s="24" t="s">
        <v>291</v>
      </c>
      <c r="U49" s="25" t="s">
        <v>291</v>
      </c>
      <c r="V49" s="25" t="s">
        <v>291</v>
      </c>
      <c r="W49" s="79" t="s">
        <v>291</v>
      </c>
      <c r="X49" s="27" t="s">
        <v>291</v>
      </c>
      <c r="Y49" s="45" t="s">
        <v>285</v>
      </c>
      <c r="Z49" s="27" t="s">
        <v>291</v>
      </c>
      <c r="AA49" s="27" t="s">
        <v>291</v>
      </c>
      <c r="AB49" s="26" t="s">
        <v>291</v>
      </c>
      <c r="AC49" s="26" t="s">
        <v>291</v>
      </c>
      <c r="AD49" s="26" t="s">
        <v>291</v>
      </c>
      <c r="AE49" s="26" t="s">
        <v>291</v>
      </c>
      <c r="AF49" s="26" t="s">
        <v>291</v>
      </c>
      <c r="AG49" s="29" t="s">
        <v>285</v>
      </c>
      <c r="AH49" s="26" t="s">
        <v>291</v>
      </c>
      <c r="AI49" s="26" t="s">
        <v>291</v>
      </c>
      <c r="AJ49" s="26" t="s">
        <v>291</v>
      </c>
      <c r="AK49" s="26" t="s">
        <v>291</v>
      </c>
      <c r="AL49" s="26" t="s">
        <v>291</v>
      </c>
      <c r="AM49" s="26" t="s">
        <v>291</v>
      </c>
      <c r="AN49" s="26" t="s">
        <v>291</v>
      </c>
      <c r="AO49" s="26" t="s">
        <v>291</v>
      </c>
      <c r="AP49" s="27" t="s">
        <v>291</v>
      </c>
      <c r="AQ49" s="27" t="s">
        <v>291</v>
      </c>
      <c r="AR49" s="27" t="s">
        <v>291</v>
      </c>
      <c r="AS49" s="27" t="s">
        <v>291</v>
      </c>
      <c r="AT49" s="27" t="s">
        <v>291</v>
      </c>
      <c r="AU49" s="27" t="s">
        <v>291</v>
      </c>
      <c r="AV49" s="45" t="s">
        <v>285</v>
      </c>
      <c r="AW49" s="45" t="s">
        <v>285</v>
      </c>
      <c r="AX49" s="26" t="s">
        <v>291</v>
      </c>
      <c r="AY49" s="26" t="s">
        <v>291</v>
      </c>
      <c r="AZ49" s="26" t="s">
        <v>291</v>
      </c>
      <c r="BA49" s="26" t="s">
        <v>291</v>
      </c>
      <c r="BB49" s="26" t="s">
        <v>291</v>
      </c>
      <c r="BC49" s="50">
        <f t="shared" si="3"/>
        <v>6</v>
      </c>
      <c r="BD49" s="95">
        <f t="shared" si="4"/>
        <v>0</v>
      </c>
      <c r="BE49" s="114" t="s">
        <v>411</v>
      </c>
      <c r="BF49" s="114" t="s">
        <v>442</v>
      </c>
      <c r="BG49" s="133">
        <v>10</v>
      </c>
      <c r="BH49" s="133">
        <v>10</v>
      </c>
      <c r="BI49" s="130"/>
      <c r="BJ49" s="130"/>
      <c r="BK49">
        <f t="shared" si="2"/>
        <v>20</v>
      </c>
    </row>
    <row r="50" spans="1:63" ht="15.5" x14ac:dyDescent="0.35">
      <c r="A50" t="s">
        <v>200</v>
      </c>
      <c r="B50" s="14" t="s">
        <v>200</v>
      </c>
      <c r="C50" s="44" t="s">
        <v>201</v>
      </c>
      <c r="D50" s="55" t="s">
        <v>291</v>
      </c>
      <c r="E50" s="55" t="s">
        <v>291</v>
      </c>
      <c r="F50" s="55" t="s">
        <v>291</v>
      </c>
      <c r="G50" s="55" t="s">
        <v>291</v>
      </c>
      <c r="H50" s="55" t="s">
        <v>291</v>
      </c>
      <c r="I50" s="55" t="s">
        <v>291</v>
      </c>
      <c r="J50" s="55" t="s">
        <v>291</v>
      </c>
      <c r="K50" s="55" t="s">
        <v>291</v>
      </c>
      <c r="L50" s="55" t="s">
        <v>291</v>
      </c>
      <c r="M50" s="55" t="s">
        <v>291</v>
      </c>
      <c r="N50" s="55" t="s">
        <v>291</v>
      </c>
      <c r="O50" s="15" t="s">
        <v>291</v>
      </c>
      <c r="P50" s="58" t="s">
        <v>291</v>
      </c>
      <c r="Q50" s="24" t="s">
        <v>291</v>
      </c>
      <c r="R50" s="24" t="s">
        <v>291</v>
      </c>
      <c r="S50" s="24" t="s">
        <v>291</v>
      </c>
      <c r="T50" s="24" t="s">
        <v>291</v>
      </c>
      <c r="U50" s="25" t="s">
        <v>291</v>
      </c>
      <c r="V50" s="25" t="s">
        <v>291</v>
      </c>
      <c r="W50" s="79" t="s">
        <v>291</v>
      </c>
      <c r="X50" s="27" t="s">
        <v>291</v>
      </c>
      <c r="Y50" s="27" t="s">
        <v>291</v>
      </c>
      <c r="Z50" s="27" t="s">
        <v>291</v>
      </c>
      <c r="AA50" s="27" t="s">
        <v>291</v>
      </c>
      <c r="AB50" s="26" t="s">
        <v>291</v>
      </c>
      <c r="AC50" s="26" t="s">
        <v>291</v>
      </c>
      <c r="AD50" s="26" t="s">
        <v>291</v>
      </c>
      <c r="AE50" s="26" t="s">
        <v>291</v>
      </c>
      <c r="AF50" s="26" t="s">
        <v>291</v>
      </c>
      <c r="AG50" s="26" t="s">
        <v>291</v>
      </c>
      <c r="AH50" s="26" t="s">
        <v>291</v>
      </c>
      <c r="AI50" s="26" t="s">
        <v>291</v>
      </c>
      <c r="AJ50" s="26" t="s">
        <v>291</v>
      </c>
      <c r="AK50" s="26" t="s">
        <v>291</v>
      </c>
      <c r="AL50" s="26" t="s">
        <v>291</v>
      </c>
      <c r="AM50" s="26" t="s">
        <v>291</v>
      </c>
      <c r="AN50" s="26" t="s">
        <v>291</v>
      </c>
      <c r="AO50" s="26" t="s">
        <v>291</v>
      </c>
      <c r="AP50" s="27" t="s">
        <v>291</v>
      </c>
      <c r="AQ50" s="27" t="s">
        <v>291</v>
      </c>
      <c r="AR50" s="27" t="s">
        <v>291</v>
      </c>
      <c r="AS50" s="27" t="s">
        <v>291</v>
      </c>
      <c r="AT50" s="27" t="s">
        <v>291</v>
      </c>
      <c r="AU50" s="27" t="s">
        <v>291</v>
      </c>
      <c r="AV50" s="27" t="s">
        <v>291</v>
      </c>
      <c r="AW50" s="27" t="s">
        <v>291</v>
      </c>
      <c r="AX50" s="26" t="s">
        <v>291</v>
      </c>
      <c r="AY50" s="26" t="s">
        <v>291</v>
      </c>
      <c r="AZ50" s="26" t="s">
        <v>291</v>
      </c>
      <c r="BA50" s="26" t="s">
        <v>291</v>
      </c>
      <c r="BB50" s="26" t="s">
        <v>291</v>
      </c>
      <c r="BC50" s="50">
        <f t="shared" si="3"/>
        <v>0</v>
      </c>
      <c r="BD50" s="95">
        <f t="shared" si="4"/>
        <v>0</v>
      </c>
      <c r="BE50" s="114" t="s">
        <v>412</v>
      </c>
      <c r="BF50" s="114" t="s">
        <v>443</v>
      </c>
      <c r="BG50" s="133">
        <v>10</v>
      </c>
      <c r="BH50" s="133">
        <v>10</v>
      </c>
      <c r="BI50" s="130"/>
      <c r="BJ50" s="130"/>
      <c r="BK50">
        <f t="shared" si="2"/>
        <v>20</v>
      </c>
    </row>
    <row r="51" spans="1:63" ht="15.5" x14ac:dyDescent="0.35">
      <c r="A51" t="s">
        <v>202</v>
      </c>
      <c r="B51" s="14" t="s">
        <v>202</v>
      </c>
      <c r="C51" s="44" t="s">
        <v>203</v>
      </c>
      <c r="D51" s="55" t="s">
        <v>291</v>
      </c>
      <c r="E51" s="55" t="s">
        <v>291</v>
      </c>
      <c r="F51" s="55" t="s">
        <v>291</v>
      </c>
      <c r="G51" s="55" t="s">
        <v>291</v>
      </c>
      <c r="H51" s="55" t="s">
        <v>291</v>
      </c>
      <c r="I51" s="55" t="s">
        <v>291</v>
      </c>
      <c r="J51" s="55" t="s">
        <v>291</v>
      </c>
      <c r="K51" s="55" t="s">
        <v>291</v>
      </c>
      <c r="L51" s="55" t="s">
        <v>291</v>
      </c>
      <c r="M51" s="55" t="s">
        <v>291</v>
      </c>
      <c r="N51" s="55" t="s">
        <v>291</v>
      </c>
      <c r="O51" s="15" t="s">
        <v>291</v>
      </c>
      <c r="P51" s="58" t="s">
        <v>291</v>
      </c>
      <c r="Q51" s="24" t="s">
        <v>291</v>
      </c>
      <c r="R51" s="24" t="s">
        <v>291</v>
      </c>
      <c r="S51" s="24" t="s">
        <v>291</v>
      </c>
      <c r="T51" s="24" t="s">
        <v>291</v>
      </c>
      <c r="U51" s="25" t="s">
        <v>291</v>
      </c>
      <c r="V51" s="25" t="s">
        <v>291</v>
      </c>
      <c r="W51" s="79" t="s">
        <v>291</v>
      </c>
      <c r="X51" s="27" t="s">
        <v>291</v>
      </c>
      <c r="Y51" s="27" t="s">
        <v>291</v>
      </c>
      <c r="Z51" s="27" t="s">
        <v>291</v>
      </c>
      <c r="AA51" s="27" t="s">
        <v>291</v>
      </c>
      <c r="AB51" s="26" t="s">
        <v>291</v>
      </c>
      <c r="AC51" s="26" t="s">
        <v>291</v>
      </c>
      <c r="AD51" s="26" t="s">
        <v>291</v>
      </c>
      <c r="AE51" s="26" t="s">
        <v>291</v>
      </c>
      <c r="AF51" s="26" t="s">
        <v>291</v>
      </c>
      <c r="AG51" s="26" t="s">
        <v>291</v>
      </c>
      <c r="AH51" s="26" t="s">
        <v>291</v>
      </c>
      <c r="AI51" s="26" t="s">
        <v>291</v>
      </c>
      <c r="AJ51" s="26" t="s">
        <v>291</v>
      </c>
      <c r="AK51" s="26" t="s">
        <v>291</v>
      </c>
      <c r="AL51" s="26" t="s">
        <v>291</v>
      </c>
      <c r="AM51" s="26" t="s">
        <v>291</v>
      </c>
      <c r="AN51" s="26" t="s">
        <v>291</v>
      </c>
      <c r="AO51" s="26" t="s">
        <v>291</v>
      </c>
      <c r="AP51" s="27" t="s">
        <v>291</v>
      </c>
      <c r="AQ51" s="27" t="s">
        <v>291</v>
      </c>
      <c r="AR51" s="27" t="s">
        <v>291</v>
      </c>
      <c r="AS51" s="27" t="s">
        <v>291</v>
      </c>
      <c r="AT51" s="27" t="s">
        <v>291</v>
      </c>
      <c r="AU51" s="27" t="s">
        <v>291</v>
      </c>
      <c r="AV51" s="27" t="s">
        <v>291</v>
      </c>
      <c r="AW51" s="27" t="s">
        <v>291</v>
      </c>
      <c r="AX51" s="26" t="s">
        <v>291</v>
      </c>
      <c r="AY51" s="26" t="s">
        <v>291</v>
      </c>
      <c r="AZ51" s="26" t="s">
        <v>291</v>
      </c>
      <c r="BA51" s="26" t="s">
        <v>291</v>
      </c>
      <c r="BB51" s="26" t="s">
        <v>291</v>
      </c>
      <c r="BC51" s="50">
        <f t="shared" si="3"/>
        <v>0</v>
      </c>
      <c r="BD51" s="95">
        <f t="shared" si="4"/>
        <v>0</v>
      </c>
      <c r="BE51" s="144" t="s">
        <v>413</v>
      </c>
      <c r="BF51" s="144" t="s">
        <v>444</v>
      </c>
      <c r="BG51" s="145">
        <v>10</v>
      </c>
      <c r="BH51" s="145">
        <v>10</v>
      </c>
      <c r="BI51" s="146"/>
      <c r="BJ51" s="146"/>
      <c r="BK51" s="126">
        <f t="shared" si="2"/>
        <v>20</v>
      </c>
    </row>
    <row r="52" spans="1:63" ht="15.5" x14ac:dyDescent="0.35">
      <c r="A52" t="s">
        <v>204</v>
      </c>
      <c r="B52" s="14" t="s">
        <v>204</v>
      </c>
      <c r="C52" s="44" t="s">
        <v>203</v>
      </c>
      <c r="D52" s="55" t="s">
        <v>291</v>
      </c>
      <c r="E52" s="55" t="s">
        <v>291</v>
      </c>
      <c r="F52" s="55" t="s">
        <v>291</v>
      </c>
      <c r="G52" s="55" t="s">
        <v>291</v>
      </c>
      <c r="H52" s="55" t="s">
        <v>291</v>
      </c>
      <c r="I52" s="55" t="s">
        <v>291</v>
      </c>
      <c r="J52" s="55" t="s">
        <v>291</v>
      </c>
      <c r="K52" s="55" t="s">
        <v>291</v>
      </c>
      <c r="L52" s="55" t="s">
        <v>291</v>
      </c>
      <c r="M52" s="55" t="s">
        <v>291</v>
      </c>
      <c r="N52" s="55" t="s">
        <v>291</v>
      </c>
      <c r="O52" s="15" t="s">
        <v>291</v>
      </c>
      <c r="P52" s="58" t="s">
        <v>291</v>
      </c>
      <c r="Q52" s="24" t="s">
        <v>291</v>
      </c>
      <c r="R52" s="24" t="s">
        <v>291</v>
      </c>
      <c r="S52" s="24" t="s">
        <v>291</v>
      </c>
      <c r="T52" s="24" t="s">
        <v>291</v>
      </c>
      <c r="U52" s="25" t="s">
        <v>291</v>
      </c>
      <c r="V52" s="25" t="s">
        <v>291</v>
      </c>
      <c r="W52" s="79" t="s">
        <v>291</v>
      </c>
      <c r="X52" s="27" t="s">
        <v>291</v>
      </c>
      <c r="Y52" s="27" t="s">
        <v>291</v>
      </c>
      <c r="Z52" s="27" t="s">
        <v>291</v>
      </c>
      <c r="AA52" s="27" t="s">
        <v>291</v>
      </c>
      <c r="AB52" s="26" t="s">
        <v>291</v>
      </c>
      <c r="AC52" s="26" t="s">
        <v>291</v>
      </c>
      <c r="AD52" s="26" t="s">
        <v>291</v>
      </c>
      <c r="AE52" s="26" t="s">
        <v>291</v>
      </c>
      <c r="AF52" s="26" t="s">
        <v>291</v>
      </c>
      <c r="AG52" s="26" t="s">
        <v>291</v>
      </c>
      <c r="AH52" s="26" t="s">
        <v>291</v>
      </c>
      <c r="AI52" s="26" t="s">
        <v>291</v>
      </c>
      <c r="AJ52" s="26" t="s">
        <v>291</v>
      </c>
      <c r="AK52" s="26" t="s">
        <v>291</v>
      </c>
      <c r="AL52" s="26" t="s">
        <v>291</v>
      </c>
      <c r="AM52" s="26" t="s">
        <v>291</v>
      </c>
      <c r="AN52" s="26" t="s">
        <v>291</v>
      </c>
      <c r="AO52" s="29" t="s">
        <v>285</v>
      </c>
      <c r="AP52" s="27" t="s">
        <v>291</v>
      </c>
      <c r="AQ52" s="27" t="s">
        <v>291</v>
      </c>
      <c r="AR52" s="27" t="s">
        <v>291</v>
      </c>
      <c r="AS52" s="27" t="s">
        <v>291</v>
      </c>
      <c r="AT52" s="27" t="s">
        <v>291</v>
      </c>
      <c r="AU52" s="27" t="s">
        <v>291</v>
      </c>
      <c r="AV52" s="27" t="s">
        <v>291</v>
      </c>
      <c r="AW52" s="27" t="s">
        <v>291</v>
      </c>
      <c r="AX52" s="26" t="s">
        <v>291</v>
      </c>
      <c r="AY52" s="26" t="s">
        <v>291</v>
      </c>
      <c r="AZ52" s="26" t="s">
        <v>291</v>
      </c>
      <c r="BA52" s="29" t="s">
        <v>285</v>
      </c>
      <c r="BB52" s="26" t="s">
        <v>291</v>
      </c>
      <c r="BC52" s="50">
        <f t="shared" si="3"/>
        <v>2</v>
      </c>
      <c r="BD52" s="95">
        <f t="shared" si="4"/>
        <v>0</v>
      </c>
      <c r="BE52" s="144" t="s">
        <v>202</v>
      </c>
      <c r="BF52" s="144" t="s">
        <v>444</v>
      </c>
      <c r="BG52" s="145">
        <v>10</v>
      </c>
      <c r="BH52" s="145">
        <v>10</v>
      </c>
      <c r="BI52" s="146"/>
      <c r="BJ52" s="146"/>
      <c r="BK52" s="126">
        <f t="shared" si="2"/>
        <v>20</v>
      </c>
    </row>
    <row r="53" spans="1:63" ht="15.5" x14ac:dyDescent="0.35">
      <c r="A53" t="s">
        <v>14</v>
      </c>
      <c r="B53" s="14" t="s">
        <v>14</v>
      </c>
      <c r="C53" s="44" t="s">
        <v>51</v>
      </c>
      <c r="D53" s="55" t="s">
        <v>291</v>
      </c>
      <c r="E53" s="55" t="s">
        <v>291</v>
      </c>
      <c r="F53" s="55" t="s">
        <v>291</v>
      </c>
      <c r="G53" s="55" t="s">
        <v>291</v>
      </c>
      <c r="H53" s="55" t="s">
        <v>291</v>
      </c>
      <c r="I53" s="55" t="s">
        <v>291</v>
      </c>
      <c r="J53" s="55" t="s">
        <v>291</v>
      </c>
      <c r="K53" s="55" t="s">
        <v>291</v>
      </c>
      <c r="L53" s="55" t="s">
        <v>291</v>
      </c>
      <c r="M53" s="55" t="s">
        <v>291</v>
      </c>
      <c r="N53" s="55" t="s">
        <v>291</v>
      </c>
      <c r="O53" s="15" t="s">
        <v>291</v>
      </c>
      <c r="P53" s="58" t="s">
        <v>291</v>
      </c>
      <c r="Q53" s="24" t="s">
        <v>291</v>
      </c>
      <c r="R53" s="24" t="s">
        <v>291</v>
      </c>
      <c r="S53" s="38" t="s">
        <v>285</v>
      </c>
      <c r="T53" s="24" t="s">
        <v>291</v>
      </c>
      <c r="U53" s="25" t="s">
        <v>291</v>
      </c>
      <c r="V53" s="60" t="s">
        <v>285</v>
      </c>
      <c r="W53" s="79" t="s">
        <v>291</v>
      </c>
      <c r="X53" s="27" t="s">
        <v>291</v>
      </c>
      <c r="Y53" s="27" t="s">
        <v>291</v>
      </c>
      <c r="Z53" s="27" t="s">
        <v>291</v>
      </c>
      <c r="AA53" s="27" t="s">
        <v>291</v>
      </c>
      <c r="AB53" s="26" t="s">
        <v>291</v>
      </c>
      <c r="AC53" s="26" t="s">
        <v>291</v>
      </c>
      <c r="AD53" s="26" t="s">
        <v>291</v>
      </c>
      <c r="AE53" s="26" t="s">
        <v>291</v>
      </c>
      <c r="AF53" s="26" t="s">
        <v>291</v>
      </c>
      <c r="AG53" s="26" t="s">
        <v>291</v>
      </c>
      <c r="AH53" s="26" t="s">
        <v>291</v>
      </c>
      <c r="AI53" s="26" t="s">
        <v>291</v>
      </c>
      <c r="AJ53" s="26" t="s">
        <v>291</v>
      </c>
      <c r="AK53" s="26" t="s">
        <v>291</v>
      </c>
      <c r="AL53" s="26" t="s">
        <v>291</v>
      </c>
      <c r="AM53" s="26" t="s">
        <v>291</v>
      </c>
      <c r="AN53" s="26" t="s">
        <v>291</v>
      </c>
      <c r="AO53" s="26" t="s">
        <v>291</v>
      </c>
      <c r="AP53" s="27" t="s">
        <v>291</v>
      </c>
      <c r="AQ53" s="66" t="s">
        <v>291</v>
      </c>
      <c r="AR53" s="45" t="s">
        <v>285</v>
      </c>
      <c r="AS53" s="27" t="s">
        <v>291</v>
      </c>
      <c r="AT53" s="27" t="s">
        <v>291</v>
      </c>
      <c r="AU53" s="27" t="s">
        <v>291</v>
      </c>
      <c r="AV53" s="27" t="s">
        <v>291</v>
      </c>
      <c r="AW53" s="27" t="s">
        <v>291</v>
      </c>
      <c r="AX53" s="26" t="s">
        <v>291</v>
      </c>
      <c r="AY53" s="26" t="s">
        <v>291</v>
      </c>
      <c r="AZ53" s="26" t="s">
        <v>291</v>
      </c>
      <c r="BA53" s="26" t="s">
        <v>291</v>
      </c>
      <c r="BB53" s="26" t="s">
        <v>291</v>
      </c>
      <c r="BC53" s="50">
        <f t="shared" si="3"/>
        <v>3</v>
      </c>
      <c r="BD53" s="95">
        <f t="shared" si="4"/>
        <v>0</v>
      </c>
      <c r="BE53" s="114" t="s">
        <v>349</v>
      </c>
      <c r="BF53" s="114" t="s">
        <v>445</v>
      </c>
      <c r="BG53" s="133">
        <v>10</v>
      </c>
      <c r="BH53" s="133">
        <v>10</v>
      </c>
      <c r="BI53" s="130"/>
      <c r="BJ53" s="130"/>
      <c r="BK53">
        <f t="shared" si="2"/>
        <v>20</v>
      </c>
    </row>
    <row r="54" spans="1:63" ht="15.5" x14ac:dyDescent="0.35">
      <c r="A54" t="s">
        <v>205</v>
      </c>
      <c r="B54" s="36" t="s">
        <v>205</v>
      </c>
      <c r="C54" s="47" t="s">
        <v>51</v>
      </c>
      <c r="D54" s="55" t="s">
        <v>291</v>
      </c>
      <c r="E54" s="55" t="s">
        <v>291</v>
      </c>
      <c r="F54" s="55" t="s">
        <v>291</v>
      </c>
      <c r="G54" s="55" t="s">
        <v>291</v>
      </c>
      <c r="H54" s="55" t="s">
        <v>291</v>
      </c>
      <c r="I54" s="55" t="s">
        <v>291</v>
      </c>
      <c r="J54" s="55" t="s">
        <v>291</v>
      </c>
      <c r="K54" s="55" t="s">
        <v>291</v>
      </c>
      <c r="L54" s="55" t="s">
        <v>291</v>
      </c>
      <c r="M54" s="56" t="s">
        <v>285</v>
      </c>
      <c r="N54" s="55" t="s">
        <v>291</v>
      </c>
      <c r="O54" s="32" t="s">
        <v>285</v>
      </c>
      <c r="P54" s="58" t="s">
        <v>291</v>
      </c>
      <c r="Q54" s="24" t="s">
        <v>291</v>
      </c>
      <c r="R54" s="24" t="s">
        <v>291</v>
      </c>
      <c r="S54" s="24" t="s">
        <v>291</v>
      </c>
      <c r="T54" s="38" t="s">
        <v>285</v>
      </c>
      <c r="U54" s="25" t="s">
        <v>291</v>
      </c>
      <c r="V54" s="25" t="s">
        <v>291</v>
      </c>
      <c r="W54" s="79" t="s">
        <v>291</v>
      </c>
      <c r="X54" s="27" t="s">
        <v>291</v>
      </c>
      <c r="Y54" s="45" t="s">
        <v>285</v>
      </c>
      <c r="Z54" s="27" t="s">
        <v>291</v>
      </c>
      <c r="AA54" s="27" t="s">
        <v>291</v>
      </c>
      <c r="AB54" s="26" t="s">
        <v>291</v>
      </c>
      <c r="AC54" s="26" t="s">
        <v>291</v>
      </c>
      <c r="AD54" s="26" t="s">
        <v>291</v>
      </c>
      <c r="AE54" s="26" t="s">
        <v>291</v>
      </c>
      <c r="AF54" s="26" t="s">
        <v>291</v>
      </c>
      <c r="AG54" s="26" t="s">
        <v>291</v>
      </c>
      <c r="AH54" s="29" t="s">
        <v>285</v>
      </c>
      <c r="AI54" s="26" t="s">
        <v>291</v>
      </c>
      <c r="AJ54" s="26" t="s">
        <v>291</v>
      </c>
      <c r="AK54" s="26" t="s">
        <v>291</v>
      </c>
      <c r="AL54" s="26" t="s">
        <v>291</v>
      </c>
      <c r="AM54" s="26" t="s">
        <v>291</v>
      </c>
      <c r="AN54" s="26" t="s">
        <v>291</v>
      </c>
      <c r="AO54" s="26" t="s">
        <v>291</v>
      </c>
      <c r="AP54" s="27" t="s">
        <v>291</v>
      </c>
      <c r="AQ54" s="66" t="s">
        <v>291</v>
      </c>
      <c r="AR54" s="27" t="s">
        <v>291</v>
      </c>
      <c r="AS54" s="27" t="s">
        <v>291</v>
      </c>
      <c r="AT54" s="27" t="s">
        <v>291</v>
      </c>
      <c r="AU54" s="27" t="s">
        <v>291</v>
      </c>
      <c r="AV54" s="45" t="s">
        <v>285</v>
      </c>
      <c r="AW54" s="27" t="s">
        <v>291</v>
      </c>
      <c r="AX54" s="26" t="s">
        <v>291</v>
      </c>
      <c r="AY54" s="26" t="s">
        <v>291</v>
      </c>
      <c r="AZ54" s="26" t="s">
        <v>291</v>
      </c>
      <c r="BA54" s="26" t="s">
        <v>291</v>
      </c>
      <c r="BB54" s="26" t="s">
        <v>291</v>
      </c>
      <c r="BC54" s="50">
        <f t="shared" si="3"/>
        <v>6</v>
      </c>
      <c r="BD54" s="95">
        <f t="shared" si="4"/>
        <v>0</v>
      </c>
      <c r="BE54" s="114" t="s">
        <v>414</v>
      </c>
      <c r="BF54" s="114" t="s">
        <v>445</v>
      </c>
      <c r="BG54" s="133">
        <v>10</v>
      </c>
      <c r="BH54" s="133">
        <v>10</v>
      </c>
      <c r="BI54" s="130"/>
      <c r="BJ54" s="130"/>
      <c r="BK54">
        <f t="shared" si="2"/>
        <v>20</v>
      </c>
    </row>
    <row r="55" spans="1:63" ht="15.5" x14ac:dyDescent="0.35">
      <c r="A55" t="s">
        <v>206</v>
      </c>
      <c r="B55" s="14" t="s">
        <v>206</v>
      </c>
      <c r="C55" s="44" t="s">
        <v>53</v>
      </c>
      <c r="D55" s="55" t="s">
        <v>291</v>
      </c>
      <c r="E55" s="55" t="s">
        <v>291</v>
      </c>
      <c r="F55" s="55" t="s">
        <v>291</v>
      </c>
      <c r="G55" s="55" t="s">
        <v>291</v>
      </c>
      <c r="H55" s="55" t="s">
        <v>291</v>
      </c>
      <c r="I55" s="55" t="s">
        <v>291</v>
      </c>
      <c r="J55" s="55" t="s">
        <v>291</v>
      </c>
      <c r="K55" s="55" t="s">
        <v>291</v>
      </c>
      <c r="L55" s="55" t="s">
        <v>291</v>
      </c>
      <c r="M55" s="55" t="s">
        <v>291</v>
      </c>
      <c r="N55" s="55" t="s">
        <v>291</v>
      </c>
      <c r="O55" s="15" t="s">
        <v>291</v>
      </c>
      <c r="P55" s="58" t="s">
        <v>291</v>
      </c>
      <c r="Q55" s="24" t="s">
        <v>291</v>
      </c>
      <c r="R55" s="24" t="s">
        <v>291</v>
      </c>
      <c r="S55" s="24" t="s">
        <v>291</v>
      </c>
      <c r="T55" s="24" t="s">
        <v>291</v>
      </c>
      <c r="U55" s="25" t="s">
        <v>291</v>
      </c>
      <c r="V55" s="25" t="s">
        <v>291</v>
      </c>
      <c r="W55" s="79" t="s">
        <v>291</v>
      </c>
      <c r="X55" s="27" t="s">
        <v>291</v>
      </c>
      <c r="Y55" s="27" t="s">
        <v>291</v>
      </c>
      <c r="Z55" s="27" t="s">
        <v>291</v>
      </c>
      <c r="AA55" s="27" t="s">
        <v>291</v>
      </c>
      <c r="AB55" s="26" t="s">
        <v>291</v>
      </c>
      <c r="AC55" s="26" t="s">
        <v>291</v>
      </c>
      <c r="AD55" s="26" t="s">
        <v>291</v>
      </c>
      <c r="AE55" s="26" t="s">
        <v>291</v>
      </c>
      <c r="AF55" s="26" t="s">
        <v>291</v>
      </c>
      <c r="AG55" s="26" t="s">
        <v>291</v>
      </c>
      <c r="AH55" s="26" t="s">
        <v>291</v>
      </c>
      <c r="AI55" s="26" t="s">
        <v>291</v>
      </c>
      <c r="AJ55" s="29" t="s">
        <v>285</v>
      </c>
      <c r="AK55" s="29" t="s">
        <v>285</v>
      </c>
      <c r="AL55" s="26" t="s">
        <v>291</v>
      </c>
      <c r="AM55" s="26" t="s">
        <v>291</v>
      </c>
      <c r="AN55" s="26" t="s">
        <v>291</v>
      </c>
      <c r="AO55" s="26" t="s">
        <v>291</v>
      </c>
      <c r="AP55" s="27" t="s">
        <v>291</v>
      </c>
      <c r="AQ55" s="66" t="s">
        <v>291</v>
      </c>
      <c r="AR55" s="27" t="s">
        <v>291</v>
      </c>
      <c r="AS55" s="27" t="s">
        <v>291</v>
      </c>
      <c r="AT55" s="27" t="s">
        <v>291</v>
      </c>
      <c r="AU55" s="27" t="s">
        <v>291</v>
      </c>
      <c r="AV55" s="27" t="s">
        <v>291</v>
      </c>
      <c r="AW55" s="27" t="s">
        <v>291</v>
      </c>
      <c r="AX55" s="26" t="s">
        <v>291</v>
      </c>
      <c r="AY55" s="26" t="s">
        <v>291</v>
      </c>
      <c r="AZ55" s="26" t="s">
        <v>291</v>
      </c>
      <c r="BA55" s="26" t="s">
        <v>291</v>
      </c>
      <c r="BB55" s="26" t="s">
        <v>291</v>
      </c>
      <c r="BC55" s="50">
        <f t="shared" si="3"/>
        <v>2</v>
      </c>
      <c r="BD55" s="95">
        <f t="shared" si="4"/>
        <v>0</v>
      </c>
      <c r="BE55" s="114" t="s">
        <v>415</v>
      </c>
      <c r="BF55" s="114" t="s">
        <v>446</v>
      </c>
      <c r="BG55" s="133">
        <v>10</v>
      </c>
      <c r="BH55" s="133">
        <v>10</v>
      </c>
      <c r="BI55" s="130"/>
      <c r="BJ55" s="130"/>
      <c r="BK55">
        <f t="shared" si="2"/>
        <v>20</v>
      </c>
    </row>
    <row r="56" spans="1:63" ht="15.5" x14ac:dyDescent="0.35">
      <c r="A56" t="s">
        <v>207</v>
      </c>
      <c r="B56" s="14" t="s">
        <v>207</v>
      </c>
      <c r="C56" s="44" t="s">
        <v>53</v>
      </c>
      <c r="D56" s="55" t="s">
        <v>291</v>
      </c>
      <c r="E56" s="55" t="s">
        <v>291</v>
      </c>
      <c r="F56" s="55" t="s">
        <v>291</v>
      </c>
      <c r="G56" s="55" t="s">
        <v>291</v>
      </c>
      <c r="H56" s="55" t="s">
        <v>291</v>
      </c>
      <c r="I56" s="56" t="s">
        <v>285</v>
      </c>
      <c r="J56" s="56" t="s">
        <v>285</v>
      </c>
      <c r="K56" s="55" t="s">
        <v>291</v>
      </c>
      <c r="L56" s="55" t="s">
        <v>291</v>
      </c>
      <c r="M56" s="55" t="s">
        <v>291</v>
      </c>
      <c r="N56" s="55" t="s">
        <v>291</v>
      </c>
      <c r="O56" s="15" t="s">
        <v>291</v>
      </c>
      <c r="P56" s="58" t="s">
        <v>291</v>
      </c>
      <c r="Q56" s="24" t="s">
        <v>291</v>
      </c>
      <c r="R56" s="24" t="s">
        <v>291</v>
      </c>
      <c r="S56" s="24" t="s">
        <v>291</v>
      </c>
      <c r="T56" s="24" t="s">
        <v>291</v>
      </c>
      <c r="U56" s="25" t="s">
        <v>291</v>
      </c>
      <c r="V56" s="25" t="s">
        <v>291</v>
      </c>
      <c r="W56" s="79" t="s">
        <v>291</v>
      </c>
      <c r="X56" s="27" t="s">
        <v>291</v>
      </c>
      <c r="Y56" s="27" t="s">
        <v>291</v>
      </c>
      <c r="Z56" s="27" t="s">
        <v>291</v>
      </c>
      <c r="AA56" s="27" t="s">
        <v>291</v>
      </c>
      <c r="AB56" s="29" t="s">
        <v>285</v>
      </c>
      <c r="AC56" s="26" t="s">
        <v>291</v>
      </c>
      <c r="AD56" s="26" t="s">
        <v>291</v>
      </c>
      <c r="AE56" s="26" t="s">
        <v>291</v>
      </c>
      <c r="AF56" s="26" t="s">
        <v>291</v>
      </c>
      <c r="AG56" s="26" t="s">
        <v>291</v>
      </c>
      <c r="AH56" s="26" t="s">
        <v>291</v>
      </c>
      <c r="AI56" s="29" t="s">
        <v>285</v>
      </c>
      <c r="AJ56" s="26" t="s">
        <v>291</v>
      </c>
      <c r="AK56" s="26" t="s">
        <v>291</v>
      </c>
      <c r="AL56" s="29" t="s">
        <v>285</v>
      </c>
      <c r="AM56" s="26" t="s">
        <v>291</v>
      </c>
      <c r="AN56" s="26" t="s">
        <v>291</v>
      </c>
      <c r="AO56" s="26" t="s">
        <v>291</v>
      </c>
      <c r="AP56" s="27" t="s">
        <v>291</v>
      </c>
      <c r="AQ56" s="66" t="s">
        <v>291</v>
      </c>
      <c r="AR56" s="27" t="s">
        <v>291</v>
      </c>
      <c r="AS56" s="27" t="s">
        <v>291</v>
      </c>
      <c r="AT56" s="45" t="s">
        <v>285</v>
      </c>
      <c r="AU56" s="27" t="s">
        <v>291</v>
      </c>
      <c r="AV56" s="27" t="s">
        <v>291</v>
      </c>
      <c r="AW56" s="27" t="s">
        <v>291</v>
      </c>
      <c r="AX56" s="29" t="s">
        <v>285</v>
      </c>
      <c r="AY56" s="26" t="s">
        <v>291</v>
      </c>
      <c r="AZ56" s="26" t="s">
        <v>291</v>
      </c>
      <c r="BA56" s="26" t="s">
        <v>291</v>
      </c>
      <c r="BB56" s="26" t="s">
        <v>291</v>
      </c>
      <c r="BC56" s="50">
        <f t="shared" si="3"/>
        <v>7</v>
      </c>
      <c r="BD56" s="95">
        <f t="shared" si="4"/>
        <v>0</v>
      </c>
      <c r="BE56" s="114" t="s">
        <v>416</v>
      </c>
      <c r="BF56" s="114" t="s">
        <v>53</v>
      </c>
      <c r="BG56" s="133">
        <v>10</v>
      </c>
      <c r="BH56" s="133">
        <v>10</v>
      </c>
      <c r="BI56" s="130"/>
      <c r="BJ56" s="130"/>
      <c r="BK56">
        <f t="shared" si="2"/>
        <v>20</v>
      </c>
    </row>
    <row r="57" spans="1:63" ht="15.5" x14ac:dyDescent="0.35">
      <c r="A57" t="s">
        <v>208</v>
      </c>
      <c r="B57" s="14" t="s">
        <v>208</v>
      </c>
      <c r="C57" s="44" t="s">
        <v>209</v>
      </c>
      <c r="D57" s="55" t="s">
        <v>291</v>
      </c>
      <c r="E57" s="55" t="s">
        <v>291</v>
      </c>
      <c r="F57" s="55" t="s">
        <v>291</v>
      </c>
      <c r="G57" s="55" t="s">
        <v>291</v>
      </c>
      <c r="H57" s="55" t="s">
        <v>291</v>
      </c>
      <c r="I57" s="55" t="s">
        <v>291</v>
      </c>
      <c r="J57" s="55" t="s">
        <v>291</v>
      </c>
      <c r="K57" s="55" t="s">
        <v>291</v>
      </c>
      <c r="L57" s="55" t="s">
        <v>291</v>
      </c>
      <c r="M57" s="55" t="s">
        <v>291</v>
      </c>
      <c r="N57" s="56" t="s">
        <v>285</v>
      </c>
      <c r="O57" s="15" t="s">
        <v>291</v>
      </c>
      <c r="P57" s="58" t="s">
        <v>291</v>
      </c>
      <c r="Q57" s="24" t="s">
        <v>291</v>
      </c>
      <c r="R57" s="24" t="s">
        <v>291</v>
      </c>
      <c r="S57" s="24" t="s">
        <v>291</v>
      </c>
      <c r="T57" s="24" t="s">
        <v>291</v>
      </c>
      <c r="U57" s="25" t="s">
        <v>291</v>
      </c>
      <c r="V57" s="25" t="s">
        <v>291</v>
      </c>
      <c r="W57" s="79" t="s">
        <v>291</v>
      </c>
      <c r="X57" s="27" t="s">
        <v>291</v>
      </c>
      <c r="Y57" s="27" t="s">
        <v>291</v>
      </c>
      <c r="Z57" s="27" t="s">
        <v>291</v>
      </c>
      <c r="AA57" s="27" t="s">
        <v>291</v>
      </c>
      <c r="AB57" s="26" t="s">
        <v>291</v>
      </c>
      <c r="AC57" s="26" t="s">
        <v>291</v>
      </c>
      <c r="AD57" s="26" t="s">
        <v>291</v>
      </c>
      <c r="AE57" s="26" t="s">
        <v>291</v>
      </c>
      <c r="AF57" s="26" t="s">
        <v>291</v>
      </c>
      <c r="AG57" s="26" t="s">
        <v>291</v>
      </c>
      <c r="AH57" s="26" t="s">
        <v>291</v>
      </c>
      <c r="AI57" s="26" t="s">
        <v>291</v>
      </c>
      <c r="AJ57" s="26" t="s">
        <v>291</v>
      </c>
      <c r="AK57" s="26" t="s">
        <v>291</v>
      </c>
      <c r="AL57" s="26" t="s">
        <v>291</v>
      </c>
      <c r="AM57" s="26" t="s">
        <v>291</v>
      </c>
      <c r="AN57" s="26" t="s">
        <v>291</v>
      </c>
      <c r="AO57" s="26" t="s">
        <v>291</v>
      </c>
      <c r="AP57" s="27" t="s">
        <v>291</v>
      </c>
      <c r="AQ57" s="83" t="s">
        <v>285</v>
      </c>
      <c r="AR57" s="27" t="s">
        <v>291</v>
      </c>
      <c r="AS57" s="27" t="s">
        <v>291</v>
      </c>
      <c r="AT57" s="27" t="s">
        <v>291</v>
      </c>
      <c r="AU57" s="27" t="s">
        <v>291</v>
      </c>
      <c r="AV57" s="27" t="s">
        <v>291</v>
      </c>
      <c r="AW57" s="27" t="s">
        <v>291</v>
      </c>
      <c r="AX57" s="26" t="s">
        <v>291</v>
      </c>
      <c r="AY57" s="26" t="s">
        <v>291</v>
      </c>
      <c r="AZ57" s="26" t="s">
        <v>291</v>
      </c>
      <c r="BA57" s="26" t="s">
        <v>291</v>
      </c>
      <c r="BB57" s="26" t="s">
        <v>291</v>
      </c>
      <c r="BC57" s="50">
        <f t="shared" si="3"/>
        <v>2</v>
      </c>
      <c r="BD57" s="95">
        <f t="shared" si="4"/>
        <v>0</v>
      </c>
      <c r="BE57" s="114" t="s">
        <v>417</v>
      </c>
      <c r="BF57" s="114" t="s">
        <v>447</v>
      </c>
      <c r="BG57" s="133">
        <v>10</v>
      </c>
      <c r="BH57" s="133">
        <v>10</v>
      </c>
      <c r="BI57" s="130"/>
      <c r="BJ57" s="130"/>
      <c r="BK57">
        <f t="shared" si="2"/>
        <v>20</v>
      </c>
    </row>
    <row r="58" spans="1:63" ht="15.5" x14ac:dyDescent="0.35">
      <c r="A58" t="s">
        <v>210</v>
      </c>
      <c r="B58" s="14" t="s">
        <v>210</v>
      </c>
      <c r="C58" s="44" t="s">
        <v>163</v>
      </c>
      <c r="D58" s="55" t="s">
        <v>291</v>
      </c>
      <c r="E58" s="55" t="s">
        <v>291</v>
      </c>
      <c r="F58" s="55" t="s">
        <v>291</v>
      </c>
      <c r="G58" s="55" t="s">
        <v>291</v>
      </c>
      <c r="H58" s="55" t="s">
        <v>291</v>
      </c>
      <c r="I58" s="55" t="s">
        <v>291</v>
      </c>
      <c r="J58" s="55" t="s">
        <v>291</v>
      </c>
      <c r="K58" s="55" t="s">
        <v>291</v>
      </c>
      <c r="L58" s="55" t="s">
        <v>291</v>
      </c>
      <c r="M58" s="55" t="s">
        <v>291</v>
      </c>
      <c r="N58" s="55" t="s">
        <v>291</v>
      </c>
      <c r="O58" s="15" t="s">
        <v>291</v>
      </c>
      <c r="P58" s="58" t="s">
        <v>291</v>
      </c>
      <c r="Q58" s="84" t="s">
        <v>291</v>
      </c>
      <c r="R58" s="24" t="s">
        <v>291</v>
      </c>
      <c r="S58" s="24" t="s">
        <v>291</v>
      </c>
      <c r="T58" s="24" t="s">
        <v>291</v>
      </c>
      <c r="U58" s="25" t="s">
        <v>291</v>
      </c>
      <c r="V58" s="25" t="s">
        <v>291</v>
      </c>
      <c r="W58" s="79" t="s">
        <v>291</v>
      </c>
      <c r="X58" s="27" t="s">
        <v>291</v>
      </c>
      <c r="Y58" s="27" t="s">
        <v>291</v>
      </c>
      <c r="Z58" s="27" t="s">
        <v>291</v>
      </c>
      <c r="AA58" s="27" t="s">
        <v>291</v>
      </c>
      <c r="AB58" s="26" t="s">
        <v>291</v>
      </c>
      <c r="AC58" s="26" t="s">
        <v>291</v>
      </c>
      <c r="AD58" s="26" t="s">
        <v>291</v>
      </c>
      <c r="AE58" s="26" t="s">
        <v>291</v>
      </c>
      <c r="AF58" s="26" t="s">
        <v>291</v>
      </c>
      <c r="AG58" s="26" t="s">
        <v>291</v>
      </c>
      <c r="AH58" s="26" t="s">
        <v>291</v>
      </c>
      <c r="AI58" s="26" t="s">
        <v>291</v>
      </c>
      <c r="AJ58" s="26" t="s">
        <v>291</v>
      </c>
      <c r="AK58" s="26" t="s">
        <v>291</v>
      </c>
      <c r="AL58" s="26" t="s">
        <v>291</v>
      </c>
      <c r="AM58" s="26" t="s">
        <v>291</v>
      </c>
      <c r="AN58" s="26" t="s">
        <v>291</v>
      </c>
      <c r="AO58" s="26" t="s">
        <v>291</v>
      </c>
      <c r="AP58" s="27" t="s">
        <v>291</v>
      </c>
      <c r="AQ58" s="27" t="s">
        <v>291</v>
      </c>
      <c r="AR58" s="27" t="s">
        <v>291</v>
      </c>
      <c r="AS58" s="27" t="s">
        <v>291</v>
      </c>
      <c r="AT58" s="27" t="s">
        <v>291</v>
      </c>
      <c r="AU58" s="27" t="s">
        <v>291</v>
      </c>
      <c r="AV58" s="27" t="s">
        <v>291</v>
      </c>
      <c r="AW58" s="27" t="s">
        <v>291</v>
      </c>
      <c r="AX58" s="26" t="s">
        <v>291</v>
      </c>
      <c r="AY58" s="26" t="s">
        <v>291</v>
      </c>
      <c r="AZ58" s="26" t="s">
        <v>291</v>
      </c>
      <c r="BA58" s="26" t="s">
        <v>291</v>
      </c>
      <c r="BB58" s="26" t="s">
        <v>291</v>
      </c>
      <c r="BC58" s="50">
        <f t="shared" si="3"/>
        <v>0</v>
      </c>
      <c r="BD58" s="95">
        <f t="shared" si="4"/>
        <v>0</v>
      </c>
      <c r="BE58" s="114" t="s">
        <v>210</v>
      </c>
      <c r="BF58" s="114" t="s">
        <v>448</v>
      </c>
      <c r="BG58" s="133">
        <v>10</v>
      </c>
      <c r="BH58" s="133">
        <v>10</v>
      </c>
      <c r="BI58" s="130"/>
      <c r="BJ58" s="130"/>
      <c r="BK58">
        <f t="shared" si="2"/>
        <v>20</v>
      </c>
    </row>
    <row r="59" spans="1:63" ht="15.5" x14ac:dyDescent="0.35">
      <c r="A59" t="s">
        <v>211</v>
      </c>
      <c r="B59" s="14" t="s">
        <v>211</v>
      </c>
      <c r="C59" s="44" t="s">
        <v>123</v>
      </c>
      <c r="D59" s="55" t="s">
        <v>291</v>
      </c>
      <c r="E59" s="55" t="s">
        <v>291</v>
      </c>
      <c r="F59" s="55" t="s">
        <v>291</v>
      </c>
      <c r="G59" s="56" t="s">
        <v>285</v>
      </c>
      <c r="H59" s="56" t="s">
        <v>285</v>
      </c>
      <c r="I59" s="55" t="s">
        <v>291</v>
      </c>
      <c r="J59" s="55" t="s">
        <v>291</v>
      </c>
      <c r="K59" s="56" t="s">
        <v>285</v>
      </c>
      <c r="L59" s="55" t="s">
        <v>291</v>
      </c>
      <c r="M59" s="55" t="s">
        <v>291</v>
      </c>
      <c r="N59" s="55" t="s">
        <v>291</v>
      </c>
      <c r="O59" s="15" t="s">
        <v>291</v>
      </c>
      <c r="P59" s="61" t="s">
        <v>285</v>
      </c>
      <c r="Q59" s="24" t="s">
        <v>291</v>
      </c>
      <c r="R59" s="38" t="s">
        <v>285</v>
      </c>
      <c r="S59" s="24" t="s">
        <v>291</v>
      </c>
      <c r="T59" s="24" t="s">
        <v>291</v>
      </c>
      <c r="U59" s="25" t="s">
        <v>291</v>
      </c>
      <c r="V59" s="25" t="s">
        <v>291</v>
      </c>
      <c r="W59" s="79" t="s">
        <v>291</v>
      </c>
      <c r="X59" s="27" t="s">
        <v>291</v>
      </c>
      <c r="Y59" s="66" t="s">
        <v>291</v>
      </c>
      <c r="Z59" s="27" t="s">
        <v>291</v>
      </c>
      <c r="AA59" s="66" t="s">
        <v>291</v>
      </c>
      <c r="AB59" s="26" t="s">
        <v>292</v>
      </c>
      <c r="AC59" s="26" t="s">
        <v>291</v>
      </c>
      <c r="AD59" s="26" t="s">
        <v>291</v>
      </c>
      <c r="AE59" s="26" t="s">
        <v>291</v>
      </c>
      <c r="AF59" s="26" t="s">
        <v>291</v>
      </c>
      <c r="AG59" s="26" t="s">
        <v>292</v>
      </c>
      <c r="AH59" s="26" t="s">
        <v>291</v>
      </c>
      <c r="AI59" s="26" t="s">
        <v>291</v>
      </c>
      <c r="AJ59" s="62" t="s">
        <v>291</v>
      </c>
      <c r="AK59" s="62" t="s">
        <v>291</v>
      </c>
      <c r="AL59" s="62" t="s">
        <v>291</v>
      </c>
      <c r="AM59" s="26" t="s">
        <v>291</v>
      </c>
      <c r="AN59" s="26" t="s">
        <v>291</v>
      </c>
      <c r="AO59" s="26" t="s">
        <v>291</v>
      </c>
      <c r="AP59" s="27" t="s">
        <v>291</v>
      </c>
      <c r="AQ59" s="27" t="s">
        <v>291</v>
      </c>
      <c r="AR59" s="27" t="s">
        <v>291</v>
      </c>
      <c r="AS59" s="27" t="s">
        <v>291</v>
      </c>
      <c r="AT59" s="27" t="s">
        <v>291</v>
      </c>
      <c r="AU59" s="66" t="s">
        <v>291</v>
      </c>
      <c r="AV59" s="66" t="s">
        <v>291</v>
      </c>
      <c r="AW59" s="66" t="s">
        <v>291</v>
      </c>
      <c r="AX59" s="29" t="s">
        <v>285</v>
      </c>
      <c r="AY59" s="26" t="s">
        <v>291</v>
      </c>
      <c r="AZ59" s="29" t="s">
        <v>285</v>
      </c>
      <c r="BA59" s="62" t="s">
        <v>291</v>
      </c>
      <c r="BB59" s="26" t="s">
        <v>291</v>
      </c>
      <c r="BC59" s="50">
        <f t="shared" si="3"/>
        <v>7</v>
      </c>
      <c r="BD59" s="95">
        <f t="shared" si="4"/>
        <v>2</v>
      </c>
      <c r="BE59" s="114" t="s">
        <v>211</v>
      </c>
      <c r="BF59" s="114" t="s">
        <v>449</v>
      </c>
      <c r="BG59" s="133">
        <v>10</v>
      </c>
      <c r="BH59" s="133">
        <v>10</v>
      </c>
      <c r="BI59" s="130"/>
      <c r="BJ59" s="130"/>
      <c r="BK59">
        <f t="shared" si="2"/>
        <v>20</v>
      </c>
    </row>
    <row r="60" spans="1:63" ht="15.5" x14ac:dyDescent="0.35">
      <c r="A60" t="s">
        <v>212</v>
      </c>
      <c r="B60" s="14" t="s">
        <v>212</v>
      </c>
      <c r="C60" s="44" t="s">
        <v>213</v>
      </c>
      <c r="D60" s="56" t="s">
        <v>285</v>
      </c>
      <c r="E60" s="55" t="s">
        <v>291</v>
      </c>
      <c r="F60" s="55" t="s">
        <v>291</v>
      </c>
      <c r="G60" s="55" t="s">
        <v>291</v>
      </c>
      <c r="H60" s="55" t="s">
        <v>291</v>
      </c>
      <c r="I60" s="55" t="s">
        <v>291</v>
      </c>
      <c r="J60" s="55" t="s">
        <v>291</v>
      </c>
      <c r="K60" s="55" t="s">
        <v>291</v>
      </c>
      <c r="L60" s="55" t="s">
        <v>291</v>
      </c>
      <c r="M60" s="55" t="s">
        <v>291</v>
      </c>
      <c r="N60" s="55" t="s">
        <v>291</v>
      </c>
      <c r="O60" s="15" t="s">
        <v>291</v>
      </c>
      <c r="P60" s="58" t="s">
        <v>291</v>
      </c>
      <c r="Q60" s="24" t="s">
        <v>291</v>
      </c>
      <c r="R60" s="24" t="s">
        <v>291</v>
      </c>
      <c r="S60" s="24" t="s">
        <v>291</v>
      </c>
      <c r="T60" s="24" t="s">
        <v>291</v>
      </c>
      <c r="U60" s="25" t="s">
        <v>291</v>
      </c>
      <c r="V60" s="25" t="s">
        <v>291</v>
      </c>
      <c r="W60" s="79" t="s">
        <v>291</v>
      </c>
      <c r="X60" s="86" t="s">
        <v>291</v>
      </c>
      <c r="Y60" s="81" t="s">
        <v>291</v>
      </c>
      <c r="Z60" s="87" t="s">
        <v>291</v>
      </c>
      <c r="AA60" s="81" t="s">
        <v>291</v>
      </c>
      <c r="AB60" s="26" t="s">
        <v>291</v>
      </c>
      <c r="AC60" s="26" t="s">
        <v>291</v>
      </c>
      <c r="AD60" s="62" t="s">
        <v>291</v>
      </c>
      <c r="AE60" s="62" t="s">
        <v>291</v>
      </c>
      <c r="AF60" s="62" t="s">
        <v>291</v>
      </c>
      <c r="AG60" s="62" t="s">
        <v>291</v>
      </c>
      <c r="AH60" s="26" t="s">
        <v>291</v>
      </c>
      <c r="AI60" s="39" t="s">
        <v>291</v>
      </c>
      <c r="AJ60" s="35" t="s">
        <v>291</v>
      </c>
      <c r="AK60" s="35" t="s">
        <v>291</v>
      </c>
      <c r="AL60" s="35" t="s">
        <v>291</v>
      </c>
      <c r="AM60" s="85" t="s">
        <v>291</v>
      </c>
      <c r="AN60" s="26" t="s">
        <v>291</v>
      </c>
      <c r="AO60" s="62" t="s">
        <v>291</v>
      </c>
      <c r="AP60" s="66" t="s">
        <v>291</v>
      </c>
      <c r="AQ60" s="66" t="s">
        <v>291</v>
      </c>
      <c r="AR60" s="66" t="s">
        <v>291</v>
      </c>
      <c r="AS60" s="27" t="s">
        <v>291</v>
      </c>
      <c r="AT60" s="88" t="s">
        <v>291</v>
      </c>
      <c r="AU60" s="81" t="s">
        <v>291</v>
      </c>
      <c r="AV60" s="81" t="s">
        <v>291</v>
      </c>
      <c r="AW60" s="81" t="s">
        <v>291</v>
      </c>
      <c r="AX60" s="29" t="s">
        <v>285</v>
      </c>
      <c r="AY60" s="26" t="s">
        <v>291</v>
      </c>
      <c r="AZ60" s="26" t="s">
        <v>291</v>
      </c>
      <c r="BA60" s="35" t="s">
        <v>291</v>
      </c>
      <c r="BB60" s="26" t="s">
        <v>291</v>
      </c>
      <c r="BC60" s="50">
        <f t="shared" si="3"/>
        <v>2</v>
      </c>
      <c r="BD60" s="95">
        <f t="shared" si="4"/>
        <v>0</v>
      </c>
      <c r="BE60" s="114" t="s">
        <v>418</v>
      </c>
      <c r="BF60" s="114" t="s">
        <v>450</v>
      </c>
      <c r="BG60" s="133">
        <v>10</v>
      </c>
      <c r="BH60" s="133">
        <v>10</v>
      </c>
      <c r="BI60" s="130"/>
      <c r="BJ60" s="130"/>
      <c r="BK60">
        <f t="shared" si="2"/>
        <v>20</v>
      </c>
    </row>
    <row r="61" spans="1:63" ht="15.5" x14ac:dyDescent="0.35">
      <c r="A61" t="s">
        <v>214</v>
      </c>
      <c r="B61" s="14" t="s">
        <v>214</v>
      </c>
      <c r="C61" s="44" t="s">
        <v>215</v>
      </c>
      <c r="D61" s="55" t="s">
        <v>291</v>
      </c>
      <c r="E61" s="55" t="s">
        <v>291</v>
      </c>
      <c r="F61" s="55" t="s">
        <v>291</v>
      </c>
      <c r="G61" s="55" t="s">
        <v>291</v>
      </c>
      <c r="H61" s="55" t="s">
        <v>291</v>
      </c>
      <c r="I61" s="55" t="s">
        <v>291</v>
      </c>
      <c r="J61" s="55" t="s">
        <v>291</v>
      </c>
      <c r="K61" s="55" t="s">
        <v>291</v>
      </c>
      <c r="L61" s="55" t="s">
        <v>291</v>
      </c>
      <c r="M61" s="55" t="s">
        <v>291</v>
      </c>
      <c r="N61" s="55" t="s">
        <v>291</v>
      </c>
      <c r="O61" s="15" t="s">
        <v>291</v>
      </c>
      <c r="P61" s="58" t="s">
        <v>291</v>
      </c>
      <c r="Q61" s="89" t="s">
        <v>291</v>
      </c>
      <c r="R61" s="24" t="s">
        <v>291</v>
      </c>
      <c r="S61" s="24" t="s">
        <v>291</v>
      </c>
      <c r="T61" s="24" t="s">
        <v>291</v>
      </c>
      <c r="U61" s="25" t="s">
        <v>291</v>
      </c>
      <c r="V61" s="25" t="s">
        <v>291</v>
      </c>
      <c r="W61" s="79" t="s">
        <v>291</v>
      </c>
      <c r="X61" s="43" t="s">
        <v>291</v>
      </c>
      <c r="Y61" s="90" t="s">
        <v>285</v>
      </c>
      <c r="Z61" s="87" t="s">
        <v>291</v>
      </c>
      <c r="AA61" s="81" t="s">
        <v>291</v>
      </c>
      <c r="AB61" s="26" t="s">
        <v>291</v>
      </c>
      <c r="AC61" s="29" t="s">
        <v>285</v>
      </c>
      <c r="AD61" s="76" t="s">
        <v>291</v>
      </c>
      <c r="AE61" s="35" t="s">
        <v>291</v>
      </c>
      <c r="AF61" s="35" t="s">
        <v>291</v>
      </c>
      <c r="AG61" s="35" t="s">
        <v>291</v>
      </c>
      <c r="AH61" s="26" t="s">
        <v>291</v>
      </c>
      <c r="AI61" s="39" t="s">
        <v>291</v>
      </c>
      <c r="AJ61" s="35" t="s">
        <v>291</v>
      </c>
      <c r="AK61" s="35" t="s">
        <v>291</v>
      </c>
      <c r="AL61" s="35" t="s">
        <v>291</v>
      </c>
      <c r="AM61" s="85" t="s">
        <v>291</v>
      </c>
      <c r="AN61" s="26" t="s">
        <v>291</v>
      </c>
      <c r="AO61" s="35" t="s">
        <v>291</v>
      </c>
      <c r="AP61" s="81" t="s">
        <v>291</v>
      </c>
      <c r="AQ61" s="81" t="s">
        <v>291</v>
      </c>
      <c r="AR61" s="81" t="s">
        <v>291</v>
      </c>
      <c r="AS61" s="27" t="s">
        <v>291</v>
      </c>
      <c r="AT61" s="91" t="s">
        <v>291</v>
      </c>
      <c r="AU61" s="81" t="s">
        <v>291</v>
      </c>
      <c r="AV61" s="81" t="s">
        <v>291</v>
      </c>
      <c r="AW61" s="81" t="s">
        <v>291</v>
      </c>
      <c r="AX61" s="26" t="s">
        <v>291</v>
      </c>
      <c r="AY61" s="26" t="s">
        <v>291</v>
      </c>
      <c r="AZ61" s="26" t="s">
        <v>291</v>
      </c>
      <c r="BA61" s="35" t="s">
        <v>291</v>
      </c>
      <c r="BB61" s="26" t="s">
        <v>291</v>
      </c>
      <c r="BC61" s="50">
        <f t="shared" si="3"/>
        <v>2</v>
      </c>
      <c r="BD61" s="95">
        <f t="shared" si="4"/>
        <v>0</v>
      </c>
      <c r="BE61" s="114" t="s">
        <v>419</v>
      </c>
      <c r="BF61" s="114" t="s">
        <v>451</v>
      </c>
      <c r="BG61" s="133">
        <v>10</v>
      </c>
      <c r="BH61" s="133">
        <v>10</v>
      </c>
      <c r="BI61" s="130"/>
      <c r="BJ61" s="130"/>
      <c r="BK61">
        <f t="shared" si="2"/>
        <v>20</v>
      </c>
    </row>
    <row r="62" spans="1:63" ht="15.5" x14ac:dyDescent="0.35">
      <c r="A62" t="s">
        <v>216</v>
      </c>
      <c r="B62" s="14" t="s">
        <v>216</v>
      </c>
      <c r="C62" s="44" t="s">
        <v>215</v>
      </c>
      <c r="D62" s="55" t="s">
        <v>291</v>
      </c>
      <c r="E62" s="55" t="s">
        <v>291</v>
      </c>
      <c r="F62" s="55" t="s">
        <v>291</v>
      </c>
      <c r="G62" s="55" t="s">
        <v>291</v>
      </c>
      <c r="H62" s="55" t="s">
        <v>291</v>
      </c>
      <c r="I62" s="55" t="s">
        <v>291</v>
      </c>
      <c r="J62" s="55" t="s">
        <v>291</v>
      </c>
      <c r="K62" s="55" t="s">
        <v>291</v>
      </c>
      <c r="L62" s="55" t="s">
        <v>291</v>
      </c>
      <c r="M62" s="55" t="s">
        <v>291</v>
      </c>
      <c r="N62" s="55" t="s">
        <v>291</v>
      </c>
      <c r="O62" s="15" t="s">
        <v>291</v>
      </c>
      <c r="P62" s="58" t="s">
        <v>291</v>
      </c>
      <c r="Q62" s="15" t="s">
        <v>291</v>
      </c>
      <c r="R62" s="24" t="s">
        <v>291</v>
      </c>
      <c r="S62" s="24" t="s">
        <v>291</v>
      </c>
      <c r="T62" s="24" t="s">
        <v>291</v>
      </c>
      <c r="U62" s="25" t="s">
        <v>291</v>
      </c>
      <c r="V62" s="25" t="s">
        <v>291</v>
      </c>
      <c r="W62" s="79" t="s">
        <v>291</v>
      </c>
      <c r="X62" s="81" t="s">
        <v>291</v>
      </c>
      <c r="Y62" s="92" t="s">
        <v>291</v>
      </c>
      <c r="Z62" s="27" t="s">
        <v>291</v>
      </c>
      <c r="AA62" s="81" t="s">
        <v>291</v>
      </c>
      <c r="AB62" s="26" t="s">
        <v>291</v>
      </c>
      <c r="AC62" s="26" t="s">
        <v>291</v>
      </c>
      <c r="AD62" s="93" t="s">
        <v>291</v>
      </c>
      <c r="AE62" s="94" t="s">
        <v>291</v>
      </c>
      <c r="AF62" s="94" t="s">
        <v>291</v>
      </c>
      <c r="AG62" s="94" t="s">
        <v>291</v>
      </c>
      <c r="AH62" s="26" t="s">
        <v>291</v>
      </c>
      <c r="AI62" s="26" t="s">
        <v>291</v>
      </c>
      <c r="AJ62" s="94" t="s">
        <v>291</v>
      </c>
      <c r="AK62" s="94" t="s">
        <v>291</v>
      </c>
      <c r="AL62" s="94" t="s">
        <v>291</v>
      </c>
      <c r="AM62" s="26" t="s">
        <v>291</v>
      </c>
      <c r="AN62" s="26" t="s">
        <v>291</v>
      </c>
      <c r="AO62" s="94" t="s">
        <v>291</v>
      </c>
      <c r="AP62" s="21" t="s">
        <v>291</v>
      </c>
      <c r="AQ62" s="92" t="s">
        <v>291</v>
      </c>
      <c r="AR62" s="92" t="s">
        <v>291</v>
      </c>
      <c r="AS62" s="27" t="s">
        <v>291</v>
      </c>
      <c r="AT62" s="92" t="s">
        <v>291</v>
      </c>
      <c r="AU62" s="92" t="s">
        <v>291</v>
      </c>
      <c r="AV62" s="92" t="s">
        <v>291</v>
      </c>
      <c r="AW62" s="92" t="s">
        <v>291</v>
      </c>
      <c r="AX62" s="29" t="s">
        <v>285</v>
      </c>
      <c r="AY62" s="26" t="s">
        <v>291</v>
      </c>
      <c r="AZ62" s="26" t="s">
        <v>291</v>
      </c>
      <c r="BA62" s="94" t="s">
        <v>291</v>
      </c>
      <c r="BB62" s="26" t="s">
        <v>291</v>
      </c>
      <c r="BC62" s="50">
        <f t="shared" si="3"/>
        <v>1</v>
      </c>
      <c r="BD62" s="95">
        <f t="shared" si="4"/>
        <v>0</v>
      </c>
      <c r="BE62" s="114" t="s">
        <v>420</v>
      </c>
      <c r="BF62" s="114" t="s">
        <v>451</v>
      </c>
      <c r="BG62" s="133">
        <v>10</v>
      </c>
      <c r="BH62" s="133">
        <v>10</v>
      </c>
      <c r="BI62" s="130"/>
      <c r="BJ62" s="130"/>
      <c r="BK62">
        <f t="shared" si="2"/>
        <v>20</v>
      </c>
    </row>
    <row r="63" spans="1:63" x14ac:dyDescent="0.35">
      <c r="A63" t="s">
        <v>217</v>
      </c>
    </row>
    <row r="64" spans="1:63" x14ac:dyDescent="0.35">
      <c r="A64" t="s">
        <v>218</v>
      </c>
    </row>
    <row r="65" spans="1:1" x14ac:dyDescent="0.35">
      <c r="A65" t="s">
        <v>220</v>
      </c>
    </row>
    <row r="66" spans="1:1" x14ac:dyDescent="0.35">
      <c r="A66" t="s">
        <v>222</v>
      </c>
    </row>
    <row r="67" spans="1:1" x14ac:dyDescent="0.35">
      <c r="A67" t="s">
        <v>185</v>
      </c>
    </row>
    <row r="68" spans="1:1" x14ac:dyDescent="0.35">
      <c r="A68" t="s">
        <v>16</v>
      </c>
    </row>
    <row r="69" spans="1:1" x14ac:dyDescent="0.35">
      <c r="A69" t="s">
        <v>20</v>
      </c>
    </row>
    <row r="70" spans="1:1" x14ac:dyDescent="0.35">
      <c r="A70" t="s">
        <v>226</v>
      </c>
    </row>
    <row r="71" spans="1:1" x14ac:dyDescent="0.35">
      <c r="A71" t="s">
        <v>228</v>
      </c>
    </row>
    <row r="72" spans="1:1" x14ac:dyDescent="0.35">
      <c r="A72" t="s">
        <v>230</v>
      </c>
    </row>
    <row r="73" spans="1:1" x14ac:dyDescent="0.35">
      <c r="A73" t="s">
        <v>151</v>
      </c>
    </row>
    <row r="74" spans="1:1" x14ac:dyDescent="0.35">
      <c r="A74" t="s">
        <v>233</v>
      </c>
    </row>
    <row r="75" spans="1:1" x14ac:dyDescent="0.35">
      <c r="A75" t="s">
        <v>234</v>
      </c>
    </row>
    <row r="76" spans="1:1" x14ac:dyDescent="0.35">
      <c r="A76" t="s">
        <v>185</v>
      </c>
    </row>
    <row r="77" spans="1:1" x14ac:dyDescent="0.35">
      <c r="A77" t="s">
        <v>236</v>
      </c>
    </row>
    <row r="78" spans="1:1" x14ac:dyDescent="0.35">
      <c r="A78" t="s">
        <v>237</v>
      </c>
    </row>
    <row r="79" spans="1:1" x14ac:dyDescent="0.35">
      <c r="A79" t="s">
        <v>239</v>
      </c>
    </row>
    <row r="80" spans="1:1" x14ac:dyDescent="0.35">
      <c r="A80" t="s">
        <v>63</v>
      </c>
    </row>
    <row r="81" spans="1:1" x14ac:dyDescent="0.35">
      <c r="A81" t="s">
        <v>242</v>
      </c>
    </row>
    <row r="82" spans="1:1" x14ac:dyDescent="0.35">
      <c r="A82" t="s">
        <v>197</v>
      </c>
    </row>
    <row r="83" spans="1:1" x14ac:dyDescent="0.35">
      <c r="A83" t="s">
        <v>32</v>
      </c>
    </row>
    <row r="84" spans="1:1" x14ac:dyDescent="0.35">
      <c r="A84" t="s">
        <v>245</v>
      </c>
    </row>
    <row r="85" spans="1:1" x14ac:dyDescent="0.35">
      <c r="A85" t="s">
        <v>246</v>
      </c>
    </row>
    <row r="86" spans="1:1" x14ac:dyDescent="0.35">
      <c r="A86" t="s">
        <v>247</v>
      </c>
    </row>
    <row r="87" spans="1:1" x14ac:dyDescent="0.35">
      <c r="A87" t="s">
        <v>184</v>
      </c>
    </row>
    <row r="88" spans="1:1" x14ac:dyDescent="0.35">
      <c r="A88" t="s">
        <v>248</v>
      </c>
    </row>
    <row r="89" spans="1:1" x14ac:dyDescent="0.35">
      <c r="A89" t="s">
        <v>54</v>
      </c>
    </row>
    <row r="90" spans="1:1" x14ac:dyDescent="0.35">
      <c r="A90" t="s">
        <v>249</v>
      </c>
    </row>
    <row r="91" spans="1:1" x14ac:dyDescent="0.35">
      <c r="A91" t="s">
        <v>251</v>
      </c>
    </row>
    <row r="92" spans="1:1" x14ac:dyDescent="0.35">
      <c r="A92" t="s">
        <v>182</v>
      </c>
    </row>
    <row r="93" spans="1:1" x14ac:dyDescent="0.35">
      <c r="A93" t="s">
        <v>56</v>
      </c>
    </row>
    <row r="94" spans="1:1" x14ac:dyDescent="0.35">
      <c r="A94" t="s">
        <v>255</v>
      </c>
    </row>
    <row r="95" spans="1:1" x14ac:dyDescent="0.35">
      <c r="A95" t="s">
        <v>257</v>
      </c>
    </row>
    <row r="96" spans="1:1" x14ac:dyDescent="0.35">
      <c r="A96" t="s">
        <v>67</v>
      </c>
    </row>
    <row r="97" spans="1:1" x14ac:dyDescent="0.35">
      <c r="A97" t="s">
        <v>218</v>
      </c>
    </row>
    <row r="98" spans="1:1" x14ac:dyDescent="0.35">
      <c r="A98" t="s">
        <v>259</v>
      </c>
    </row>
    <row r="99" spans="1:1" x14ac:dyDescent="0.35">
      <c r="A99" t="s">
        <v>260</v>
      </c>
    </row>
    <row r="100" spans="1:1" x14ac:dyDescent="0.35">
      <c r="A100" t="s">
        <v>262</v>
      </c>
    </row>
    <row r="101" spans="1:1" x14ac:dyDescent="0.35">
      <c r="A101" t="s">
        <v>98</v>
      </c>
    </row>
    <row r="102" spans="1:1" x14ac:dyDescent="0.35">
      <c r="A102" t="s">
        <v>264</v>
      </c>
    </row>
    <row r="103" spans="1:1" x14ac:dyDescent="0.35">
      <c r="A103" t="s">
        <v>266</v>
      </c>
    </row>
    <row r="104" spans="1:1" x14ac:dyDescent="0.35">
      <c r="A104" t="s">
        <v>267</v>
      </c>
    </row>
    <row r="105" spans="1:1" x14ac:dyDescent="0.35">
      <c r="A105" t="s">
        <v>268</v>
      </c>
    </row>
    <row r="106" spans="1:1" x14ac:dyDescent="0.35">
      <c r="A106" t="s">
        <v>270</v>
      </c>
    </row>
    <row r="107" spans="1:1" x14ac:dyDescent="0.35">
      <c r="A107" t="s">
        <v>271</v>
      </c>
    </row>
    <row r="108" spans="1:1" x14ac:dyDescent="0.35">
      <c r="A108" t="s">
        <v>273</v>
      </c>
    </row>
    <row r="109" spans="1:1" x14ac:dyDescent="0.35">
      <c r="A109" t="s">
        <v>200</v>
      </c>
    </row>
    <row r="110" spans="1:1" x14ac:dyDescent="0.35">
      <c r="A110" t="s">
        <v>276</v>
      </c>
    </row>
    <row r="111" spans="1:1" x14ac:dyDescent="0.35">
      <c r="A111" t="s">
        <v>277</v>
      </c>
    </row>
    <row r="112" spans="1:1" x14ac:dyDescent="0.35">
      <c r="A112" t="s">
        <v>270</v>
      </c>
    </row>
    <row r="113" spans="1:1" x14ac:dyDescent="0.35">
      <c r="A113" t="s">
        <v>279</v>
      </c>
    </row>
    <row r="114" spans="1:1" x14ac:dyDescent="0.35">
      <c r="A114" t="s">
        <v>98</v>
      </c>
    </row>
    <row r="115" spans="1:1" x14ac:dyDescent="0.35">
      <c r="A115" t="s">
        <v>282</v>
      </c>
    </row>
    <row r="116" spans="1:1" x14ac:dyDescent="0.35">
      <c r="A116" t="s">
        <v>284</v>
      </c>
    </row>
  </sheetData>
  <mergeCells count="4">
    <mergeCell ref="D1:X1"/>
    <mergeCell ref="Y1:AR1"/>
    <mergeCell ref="AS1:BB1"/>
    <mergeCell ref="BC1:B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B377-1D30-44A2-880F-FD86B8DB332B}">
  <dimension ref="A1:BP56"/>
  <sheetViews>
    <sheetView workbookViewId="0">
      <selection activeCell="A3" sqref="A3:A64"/>
    </sheetView>
  </sheetViews>
  <sheetFormatPr defaultRowHeight="14.5" x14ac:dyDescent="0.35"/>
  <cols>
    <col min="4" max="59" width="0" hidden="1" customWidth="1"/>
  </cols>
  <sheetData>
    <row r="1" spans="1:68" ht="15" thickBot="1" x14ac:dyDescent="0.4">
      <c r="A1" s="3"/>
      <c r="B1" s="4" t="s">
        <v>286</v>
      </c>
      <c r="C1" s="5"/>
      <c r="D1" s="156" t="s">
        <v>287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8"/>
      <c r="Y1" s="159" t="s">
        <v>288</v>
      </c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1"/>
      <c r="AS1" s="159" t="s">
        <v>289</v>
      </c>
      <c r="AT1" s="160"/>
      <c r="AU1" s="160"/>
      <c r="AV1" s="160"/>
      <c r="AW1" s="160"/>
      <c r="AX1" s="160"/>
      <c r="AY1" s="160"/>
      <c r="AZ1" s="160"/>
      <c r="BA1" s="160"/>
      <c r="BB1" s="160"/>
      <c r="BC1" s="164" t="s">
        <v>290</v>
      </c>
      <c r="BD1" s="165"/>
    </row>
    <row r="2" spans="1:68" ht="15" thickBot="1" x14ac:dyDescent="0.4">
      <c r="A2" s="3"/>
      <c r="B2" s="5"/>
      <c r="C2" s="6"/>
      <c r="D2" s="96">
        <v>46083</v>
      </c>
      <c r="E2" s="96">
        <v>46084</v>
      </c>
      <c r="F2" s="96">
        <v>46085</v>
      </c>
      <c r="G2" s="96">
        <v>46086</v>
      </c>
      <c r="H2" s="96">
        <v>46087</v>
      </c>
      <c r="I2" s="8">
        <v>46090</v>
      </c>
      <c r="J2" s="8">
        <v>46091</v>
      </c>
      <c r="K2" s="8">
        <v>46092</v>
      </c>
      <c r="L2" s="8">
        <v>46093</v>
      </c>
      <c r="M2" s="8">
        <v>46094</v>
      </c>
      <c r="N2" s="9">
        <v>46097</v>
      </c>
      <c r="O2" s="9">
        <v>46098</v>
      </c>
      <c r="P2" s="9">
        <v>46099</v>
      </c>
      <c r="Q2" s="9">
        <v>46100</v>
      </c>
      <c r="R2" s="9">
        <v>46101</v>
      </c>
      <c r="S2" s="9">
        <v>46104</v>
      </c>
      <c r="T2" s="9">
        <v>46105</v>
      </c>
      <c r="U2" s="9">
        <v>46106</v>
      </c>
      <c r="V2" s="9">
        <v>46107</v>
      </c>
      <c r="W2" s="9">
        <v>46111</v>
      </c>
      <c r="X2" s="9">
        <v>46112</v>
      </c>
      <c r="Y2" s="10">
        <v>46113</v>
      </c>
      <c r="Z2" s="10">
        <v>46118</v>
      </c>
      <c r="AA2" s="10">
        <v>46119</v>
      </c>
      <c r="AB2" s="10">
        <v>46120</v>
      </c>
      <c r="AC2" s="10">
        <v>46121</v>
      </c>
      <c r="AD2" s="10">
        <v>46122</v>
      </c>
      <c r="AE2" s="10">
        <v>46125</v>
      </c>
      <c r="AF2" s="10">
        <v>46126</v>
      </c>
      <c r="AG2" s="10">
        <v>46127</v>
      </c>
      <c r="AH2" s="10">
        <v>46128</v>
      </c>
      <c r="AI2" s="10">
        <v>46129</v>
      </c>
      <c r="AJ2" s="10">
        <v>46132</v>
      </c>
      <c r="AK2" s="10">
        <v>46133</v>
      </c>
      <c r="AL2" s="10">
        <v>46134</v>
      </c>
      <c r="AM2" s="10">
        <v>46135</v>
      </c>
      <c r="AN2" s="10">
        <v>46136</v>
      </c>
      <c r="AO2" s="10">
        <v>46139</v>
      </c>
      <c r="AP2" s="10">
        <v>46140</v>
      </c>
      <c r="AQ2" s="10">
        <v>46141</v>
      </c>
      <c r="AR2" s="10">
        <v>46142</v>
      </c>
      <c r="AS2" s="10">
        <v>46146</v>
      </c>
      <c r="AT2" s="10">
        <v>46147</v>
      </c>
      <c r="AU2" s="10">
        <v>46148</v>
      </c>
      <c r="AV2" s="10">
        <v>46149</v>
      </c>
      <c r="AW2" s="10">
        <v>46150</v>
      </c>
      <c r="AX2" s="10">
        <v>46153</v>
      </c>
      <c r="AY2" s="10">
        <v>46154</v>
      </c>
      <c r="AZ2" s="10">
        <v>46155</v>
      </c>
      <c r="BA2" s="10">
        <v>46156</v>
      </c>
      <c r="BB2" s="10">
        <v>46157</v>
      </c>
      <c r="BC2" s="97" t="s">
        <v>8</v>
      </c>
      <c r="BD2" s="11" t="s">
        <v>9</v>
      </c>
    </row>
    <row r="3" spans="1:68" ht="15.5" x14ac:dyDescent="0.35">
      <c r="A3" t="s">
        <v>217</v>
      </c>
      <c r="B3" s="98" t="s">
        <v>217</v>
      </c>
      <c r="C3" s="99" t="s">
        <v>127</v>
      </c>
      <c r="D3" s="100" t="s">
        <v>291</v>
      </c>
      <c r="E3" s="100" t="s">
        <v>291</v>
      </c>
      <c r="F3" s="101" t="s">
        <v>285</v>
      </c>
      <c r="G3" s="100" t="s">
        <v>291</v>
      </c>
      <c r="H3" s="100" t="s">
        <v>291</v>
      </c>
      <c r="I3" s="100" t="s">
        <v>291</v>
      </c>
      <c r="J3" s="102" t="s">
        <v>291</v>
      </c>
      <c r="K3" s="102" t="s">
        <v>291</v>
      </c>
      <c r="L3" s="102" t="s">
        <v>291</v>
      </c>
      <c r="M3" s="102" t="s">
        <v>291</v>
      </c>
      <c r="N3" s="23" t="s">
        <v>291</v>
      </c>
      <c r="O3" s="24" t="s">
        <v>291</v>
      </c>
      <c r="P3" s="24" t="s">
        <v>291</v>
      </c>
      <c r="Q3" s="24" t="s">
        <v>291</v>
      </c>
      <c r="R3" s="24" t="s">
        <v>291</v>
      </c>
      <c r="S3" s="24" t="s">
        <v>291</v>
      </c>
      <c r="T3" s="25" t="s">
        <v>291</v>
      </c>
      <c r="U3" s="25" t="s">
        <v>291</v>
      </c>
      <c r="V3" s="42" t="s">
        <v>291</v>
      </c>
      <c r="W3" s="26" t="s">
        <v>291</v>
      </c>
      <c r="X3" s="26" t="s">
        <v>291</v>
      </c>
      <c r="Y3" s="26" t="s">
        <v>291</v>
      </c>
      <c r="Z3" s="26" t="s">
        <v>291</v>
      </c>
      <c r="AA3" s="26" t="s">
        <v>291</v>
      </c>
      <c r="AB3" s="26" t="s">
        <v>291</v>
      </c>
      <c r="AC3" s="26" t="s">
        <v>291</v>
      </c>
      <c r="AD3" s="26" t="s">
        <v>291</v>
      </c>
      <c r="AE3" s="26" t="s">
        <v>291</v>
      </c>
      <c r="AF3" s="26" t="s">
        <v>291</v>
      </c>
      <c r="AG3" s="26" t="s">
        <v>291</v>
      </c>
      <c r="AH3" s="26" t="s">
        <v>291</v>
      </c>
      <c r="AI3" s="26" t="s">
        <v>291</v>
      </c>
      <c r="AJ3" s="26" t="s">
        <v>292</v>
      </c>
      <c r="AK3" s="27" t="s">
        <v>291</v>
      </c>
      <c r="AL3" s="27" t="s">
        <v>291</v>
      </c>
      <c r="AM3" s="27" t="s">
        <v>291</v>
      </c>
      <c r="AN3" s="27" t="s">
        <v>291</v>
      </c>
      <c r="AO3" s="27" t="s">
        <v>291</v>
      </c>
      <c r="AP3" s="27" t="s">
        <v>291</v>
      </c>
      <c r="AQ3" s="27" t="s">
        <v>291</v>
      </c>
      <c r="AR3" s="27" t="s">
        <v>291</v>
      </c>
      <c r="AS3" s="27" t="s">
        <v>291</v>
      </c>
      <c r="AT3" s="27" t="s">
        <v>291</v>
      </c>
      <c r="AU3" s="27" t="s">
        <v>291</v>
      </c>
      <c r="AV3" s="27" t="s">
        <v>291</v>
      </c>
      <c r="AW3" s="27" t="s">
        <v>291</v>
      </c>
      <c r="AX3" s="26" t="s">
        <v>291</v>
      </c>
      <c r="AY3" s="26" t="s">
        <v>291</v>
      </c>
      <c r="AZ3" s="27" t="s">
        <v>291</v>
      </c>
      <c r="BA3" s="26" t="s">
        <v>291</v>
      </c>
      <c r="BB3" s="26" t="s">
        <v>291</v>
      </c>
      <c r="BC3" s="20">
        <f>COUNTIF(D3:BB3,"A")</f>
        <v>1</v>
      </c>
      <c r="BD3" s="20">
        <f>COUNTIF(D3:BB3,"T")</f>
        <v>1</v>
      </c>
      <c r="BG3" s="130">
        <v>1</v>
      </c>
      <c r="BH3" s="131" t="s">
        <v>217</v>
      </c>
      <c r="BI3" s="131" t="s">
        <v>127</v>
      </c>
      <c r="BJ3" s="132">
        <v>10</v>
      </c>
      <c r="BK3" s="133">
        <v>10</v>
      </c>
      <c r="BL3" s="132">
        <v>10</v>
      </c>
      <c r="BM3" s="132">
        <v>10</v>
      </c>
      <c r="BN3" s="134"/>
      <c r="BO3" s="134"/>
      <c r="BP3">
        <f>IF(SUM(BJ3:BO3)=60,"",60-SUM(BJ3:BO3))</f>
        <v>20</v>
      </c>
    </row>
    <row r="4" spans="1:68" ht="15.5" x14ac:dyDescent="0.35">
      <c r="A4" t="s">
        <v>218</v>
      </c>
      <c r="B4" s="98" t="s">
        <v>218</v>
      </c>
      <c r="C4" s="99" t="s">
        <v>219</v>
      </c>
      <c r="D4" s="100" t="s">
        <v>291</v>
      </c>
      <c r="E4" s="100" t="s">
        <v>291</v>
      </c>
      <c r="F4" s="100" t="s">
        <v>291</v>
      </c>
      <c r="G4" s="100" t="s">
        <v>291</v>
      </c>
      <c r="H4" s="100" t="s">
        <v>291</v>
      </c>
      <c r="I4" s="100" t="s">
        <v>291</v>
      </c>
      <c r="J4" s="102" t="s">
        <v>291</v>
      </c>
      <c r="K4" s="102" t="s">
        <v>291</v>
      </c>
      <c r="L4" s="102" t="s">
        <v>291</v>
      </c>
      <c r="M4" s="102" t="s">
        <v>291</v>
      </c>
      <c r="N4" s="23" t="s">
        <v>291</v>
      </c>
      <c r="O4" s="24" t="s">
        <v>291</v>
      </c>
      <c r="P4" s="24" t="s">
        <v>291</v>
      </c>
      <c r="Q4" s="24" t="s">
        <v>292</v>
      </c>
      <c r="R4" s="24" t="s">
        <v>291</v>
      </c>
      <c r="S4" s="24" t="s">
        <v>291</v>
      </c>
      <c r="T4" s="25" t="s">
        <v>291</v>
      </c>
      <c r="U4" s="25" t="s">
        <v>291</v>
      </c>
      <c r="V4" s="42" t="s">
        <v>291</v>
      </c>
      <c r="W4" s="26" t="s">
        <v>291</v>
      </c>
      <c r="X4" s="26" t="s">
        <v>291</v>
      </c>
      <c r="Y4" s="26" t="s">
        <v>291</v>
      </c>
      <c r="Z4" s="26" t="s">
        <v>291</v>
      </c>
      <c r="AA4" s="26" t="s">
        <v>291</v>
      </c>
      <c r="AB4" s="26" t="s">
        <v>291</v>
      </c>
      <c r="AC4" s="26" t="s">
        <v>291</v>
      </c>
      <c r="AD4" s="26" t="s">
        <v>291</v>
      </c>
      <c r="AE4" s="26" t="s">
        <v>291</v>
      </c>
      <c r="AF4" s="26" t="s">
        <v>291</v>
      </c>
      <c r="AG4" s="26" t="s">
        <v>291</v>
      </c>
      <c r="AH4" s="26" t="s">
        <v>291</v>
      </c>
      <c r="AI4" s="26" t="s">
        <v>291</v>
      </c>
      <c r="AJ4" s="26" t="s">
        <v>291</v>
      </c>
      <c r="AK4" s="27" t="s">
        <v>291</v>
      </c>
      <c r="AL4" s="27" t="s">
        <v>291</v>
      </c>
      <c r="AM4" s="27" t="s">
        <v>291</v>
      </c>
      <c r="AN4" s="27" t="s">
        <v>291</v>
      </c>
      <c r="AO4" s="27" t="s">
        <v>291</v>
      </c>
      <c r="AP4" s="27" t="s">
        <v>291</v>
      </c>
      <c r="AQ4" s="27" t="s">
        <v>291</v>
      </c>
      <c r="AR4" s="27" t="s">
        <v>291</v>
      </c>
      <c r="AS4" s="27" t="s">
        <v>291</v>
      </c>
      <c r="AT4" s="45" t="s">
        <v>285</v>
      </c>
      <c r="AU4" s="45" t="s">
        <v>285</v>
      </c>
      <c r="AV4" s="45" t="s">
        <v>285</v>
      </c>
      <c r="AW4" s="27" t="s">
        <v>291</v>
      </c>
      <c r="AX4" s="26" t="s">
        <v>291</v>
      </c>
      <c r="AY4" s="26" t="s">
        <v>291</v>
      </c>
      <c r="AZ4" s="27" t="s">
        <v>291</v>
      </c>
      <c r="BA4" s="26" t="s">
        <v>291</v>
      </c>
      <c r="BB4" s="26" t="s">
        <v>291</v>
      </c>
      <c r="BC4" s="20">
        <v>3</v>
      </c>
      <c r="BD4" s="20">
        <v>1</v>
      </c>
      <c r="BG4" s="130">
        <v>2</v>
      </c>
      <c r="BH4" s="131" t="s">
        <v>218</v>
      </c>
      <c r="BI4" s="131" t="s">
        <v>219</v>
      </c>
      <c r="BJ4" s="132">
        <v>10</v>
      </c>
      <c r="BK4" s="133">
        <v>10</v>
      </c>
      <c r="BL4" s="132">
        <v>10</v>
      </c>
      <c r="BM4" s="132">
        <v>10</v>
      </c>
      <c r="BN4" s="134"/>
      <c r="BO4" s="134"/>
      <c r="BP4">
        <f t="shared" ref="BP4:BP56" si="0">IF(SUM(BJ4:BO4)=60,"",60-SUM(BJ4:BO4))</f>
        <v>20</v>
      </c>
    </row>
    <row r="5" spans="1:68" ht="15.5" x14ac:dyDescent="0.35">
      <c r="A5" t="s">
        <v>220</v>
      </c>
      <c r="B5" s="98" t="s">
        <v>220</v>
      </c>
      <c r="C5" s="99" t="s">
        <v>221</v>
      </c>
      <c r="D5" s="101" t="s">
        <v>285</v>
      </c>
      <c r="E5" s="101" t="s">
        <v>285</v>
      </c>
      <c r="F5" s="100" t="s">
        <v>291</v>
      </c>
      <c r="G5" s="101" t="s">
        <v>285</v>
      </c>
      <c r="H5" s="101" t="s">
        <v>285</v>
      </c>
      <c r="I5" s="100" t="s">
        <v>291</v>
      </c>
      <c r="J5" s="102" t="s">
        <v>291</v>
      </c>
      <c r="K5" s="102" t="s">
        <v>291</v>
      </c>
      <c r="L5" s="102" t="s">
        <v>291</v>
      </c>
      <c r="M5" s="102" t="s">
        <v>291</v>
      </c>
      <c r="N5" s="23" t="s">
        <v>291</v>
      </c>
      <c r="O5" s="24" t="s">
        <v>291</v>
      </c>
      <c r="P5" s="24" t="s">
        <v>291</v>
      </c>
      <c r="Q5" s="24" t="s">
        <v>291</v>
      </c>
      <c r="R5" s="24" t="s">
        <v>291</v>
      </c>
      <c r="S5" s="24" t="s">
        <v>291</v>
      </c>
      <c r="T5" s="25" t="s">
        <v>291</v>
      </c>
      <c r="U5" s="25" t="s">
        <v>291</v>
      </c>
      <c r="V5" s="42" t="s">
        <v>291</v>
      </c>
      <c r="W5" s="26" t="s">
        <v>291</v>
      </c>
      <c r="X5" s="26" t="s">
        <v>291</v>
      </c>
      <c r="Y5" s="26" t="s">
        <v>291</v>
      </c>
      <c r="Z5" s="26" t="s">
        <v>291</v>
      </c>
      <c r="AA5" s="29" t="s">
        <v>285</v>
      </c>
      <c r="AB5" s="26" t="s">
        <v>291</v>
      </c>
      <c r="AC5" s="26" t="s">
        <v>291</v>
      </c>
      <c r="AD5" s="26" t="s">
        <v>291</v>
      </c>
      <c r="AE5" s="26" t="s">
        <v>291</v>
      </c>
      <c r="AF5" s="26" t="s">
        <v>291</v>
      </c>
      <c r="AG5" s="26" t="s">
        <v>291</v>
      </c>
      <c r="AH5" s="26" t="s">
        <v>291</v>
      </c>
      <c r="AI5" s="26" t="s">
        <v>291</v>
      </c>
      <c r="AJ5" s="26" t="s">
        <v>291</v>
      </c>
      <c r="AK5" s="27" t="s">
        <v>292</v>
      </c>
      <c r="AL5" s="27" t="s">
        <v>291</v>
      </c>
      <c r="AM5" s="27" t="s">
        <v>291</v>
      </c>
      <c r="AN5" s="27" t="s">
        <v>291</v>
      </c>
      <c r="AO5" s="27" t="s">
        <v>291</v>
      </c>
      <c r="AP5" s="27" t="s">
        <v>291</v>
      </c>
      <c r="AQ5" s="27" t="s">
        <v>291</v>
      </c>
      <c r="AR5" s="45" t="s">
        <v>285</v>
      </c>
      <c r="AS5" s="27" t="s">
        <v>291</v>
      </c>
      <c r="AT5" s="27" t="s">
        <v>291</v>
      </c>
      <c r="AU5" s="27" t="s">
        <v>291</v>
      </c>
      <c r="AV5" s="27" t="s">
        <v>291</v>
      </c>
      <c r="AW5" s="27" t="s">
        <v>291</v>
      </c>
      <c r="AX5" s="26" t="s">
        <v>291</v>
      </c>
      <c r="AY5" s="26" t="s">
        <v>291</v>
      </c>
      <c r="AZ5" s="27" t="s">
        <v>291</v>
      </c>
      <c r="BA5" s="26" t="s">
        <v>291</v>
      </c>
      <c r="BB5" s="29" t="s">
        <v>285</v>
      </c>
      <c r="BC5" s="31">
        <v>7</v>
      </c>
      <c r="BD5" s="20">
        <v>2</v>
      </c>
      <c r="BG5" s="130">
        <v>3</v>
      </c>
      <c r="BH5" s="131" t="s">
        <v>220</v>
      </c>
      <c r="BI5" s="131" t="s">
        <v>221</v>
      </c>
      <c r="BJ5" s="132">
        <v>10</v>
      </c>
      <c r="BK5" s="133">
        <v>10</v>
      </c>
      <c r="BL5" s="132">
        <v>10</v>
      </c>
      <c r="BM5" s="132">
        <v>10</v>
      </c>
      <c r="BN5" s="134"/>
      <c r="BO5" s="134"/>
      <c r="BP5">
        <f t="shared" si="0"/>
        <v>20</v>
      </c>
    </row>
    <row r="6" spans="1:68" ht="15.5" x14ac:dyDescent="0.35">
      <c r="A6" t="s">
        <v>222</v>
      </c>
      <c r="B6" s="98" t="s">
        <v>222</v>
      </c>
      <c r="C6" s="99" t="s">
        <v>223</v>
      </c>
      <c r="D6" s="101" t="s">
        <v>285</v>
      </c>
      <c r="E6" s="100" t="s">
        <v>291</v>
      </c>
      <c r="F6" s="100" t="s">
        <v>291</v>
      </c>
      <c r="G6" s="101" t="s">
        <v>285</v>
      </c>
      <c r="H6" s="100" t="s">
        <v>291</v>
      </c>
      <c r="I6" s="100" t="s">
        <v>291</v>
      </c>
      <c r="J6" s="102" t="s">
        <v>292</v>
      </c>
      <c r="K6" s="102" t="s">
        <v>291</v>
      </c>
      <c r="L6" s="102" t="s">
        <v>291</v>
      </c>
      <c r="M6" s="102" t="s">
        <v>291</v>
      </c>
      <c r="N6" s="28" t="s">
        <v>285</v>
      </c>
      <c r="O6" s="24" t="s">
        <v>291</v>
      </c>
      <c r="P6" s="38" t="s">
        <v>285</v>
      </c>
      <c r="Q6" s="24" t="s">
        <v>291</v>
      </c>
      <c r="R6" s="24" t="s">
        <v>291</v>
      </c>
      <c r="S6" s="24" t="s">
        <v>291</v>
      </c>
      <c r="T6" s="25" t="s">
        <v>291</v>
      </c>
      <c r="U6" s="25" t="s">
        <v>291</v>
      </c>
      <c r="V6" s="42" t="s">
        <v>291</v>
      </c>
      <c r="W6" s="29" t="s">
        <v>285</v>
      </c>
      <c r="X6" s="26" t="s">
        <v>291</v>
      </c>
      <c r="Y6" s="26" t="s">
        <v>291</v>
      </c>
      <c r="Z6" s="26" t="s">
        <v>291</v>
      </c>
      <c r="AA6" s="26" t="s">
        <v>291</v>
      </c>
      <c r="AB6" s="26" t="s">
        <v>292</v>
      </c>
      <c r="AC6" s="26" t="s">
        <v>291</v>
      </c>
      <c r="AD6" s="26" t="s">
        <v>291</v>
      </c>
      <c r="AE6" s="26" t="s">
        <v>291</v>
      </c>
      <c r="AF6" s="26" t="s">
        <v>291</v>
      </c>
      <c r="AG6" s="26" t="s">
        <v>291</v>
      </c>
      <c r="AH6" s="26" t="s">
        <v>291</v>
      </c>
      <c r="AI6" s="26" t="s">
        <v>291</v>
      </c>
      <c r="AJ6" s="29" t="s">
        <v>285</v>
      </c>
      <c r="AK6" s="45" t="s">
        <v>285</v>
      </c>
      <c r="AL6" s="45" t="s">
        <v>285</v>
      </c>
      <c r="AM6" s="45" t="s">
        <v>285</v>
      </c>
      <c r="AN6" s="27" t="s">
        <v>291</v>
      </c>
      <c r="AO6" s="27" t="s">
        <v>291</v>
      </c>
      <c r="AP6" s="27" t="s">
        <v>291</v>
      </c>
      <c r="AQ6" s="27" t="s">
        <v>291</v>
      </c>
      <c r="AR6" s="27" t="s">
        <v>292</v>
      </c>
      <c r="AS6" s="27" t="s">
        <v>291</v>
      </c>
      <c r="AT6" s="27" t="s">
        <v>291</v>
      </c>
      <c r="AU6" s="27" t="s">
        <v>291</v>
      </c>
      <c r="AV6" s="27" t="s">
        <v>292</v>
      </c>
      <c r="AW6" s="27" t="s">
        <v>291</v>
      </c>
      <c r="AX6" s="26" t="s">
        <v>292</v>
      </c>
      <c r="AY6" s="26" t="s">
        <v>291</v>
      </c>
      <c r="AZ6" s="27" t="s">
        <v>292</v>
      </c>
      <c r="BA6" s="26" t="s">
        <v>292</v>
      </c>
      <c r="BB6" s="29" t="s">
        <v>285</v>
      </c>
      <c r="BC6" s="31">
        <v>10</v>
      </c>
      <c r="BD6" s="31">
        <v>8</v>
      </c>
      <c r="BG6" s="130">
        <v>4</v>
      </c>
      <c r="BH6" s="131" t="s">
        <v>222</v>
      </c>
      <c r="BI6" s="131" t="s">
        <v>223</v>
      </c>
      <c r="BJ6" s="132">
        <v>10</v>
      </c>
      <c r="BK6" s="133">
        <v>10</v>
      </c>
      <c r="BL6" s="132">
        <v>10</v>
      </c>
      <c r="BM6" s="132">
        <v>10</v>
      </c>
      <c r="BN6" s="134"/>
      <c r="BO6" s="134"/>
      <c r="BP6">
        <f t="shared" si="0"/>
        <v>20</v>
      </c>
    </row>
    <row r="7" spans="1:68" ht="15.5" x14ac:dyDescent="0.35">
      <c r="A7" t="s">
        <v>185</v>
      </c>
      <c r="B7" s="98" t="s">
        <v>185</v>
      </c>
      <c r="C7" s="99" t="s">
        <v>224</v>
      </c>
      <c r="D7" s="101" t="s">
        <v>285</v>
      </c>
      <c r="E7" s="100" t="s">
        <v>291</v>
      </c>
      <c r="F7" s="100" t="s">
        <v>291</v>
      </c>
      <c r="G7" s="100" t="s">
        <v>291</v>
      </c>
      <c r="H7" s="101" t="s">
        <v>285</v>
      </c>
      <c r="I7" s="100" t="s">
        <v>291</v>
      </c>
      <c r="J7" s="102" t="s">
        <v>291</v>
      </c>
      <c r="K7" s="102" t="s">
        <v>291</v>
      </c>
      <c r="L7" s="102" t="s">
        <v>291</v>
      </c>
      <c r="M7" s="102" t="s">
        <v>291</v>
      </c>
      <c r="N7" s="23" t="s">
        <v>291</v>
      </c>
      <c r="O7" s="24" t="s">
        <v>291</v>
      </c>
      <c r="P7" s="24" t="s">
        <v>291</v>
      </c>
      <c r="Q7" s="24" t="s">
        <v>291</v>
      </c>
      <c r="R7" s="24" t="s">
        <v>291</v>
      </c>
      <c r="S7" s="24" t="s">
        <v>291</v>
      </c>
      <c r="T7" s="25" t="s">
        <v>291</v>
      </c>
      <c r="U7" s="25" t="s">
        <v>291</v>
      </c>
      <c r="V7" s="42" t="s">
        <v>291</v>
      </c>
      <c r="W7" s="26" t="s">
        <v>291</v>
      </c>
      <c r="X7" s="26" t="s">
        <v>291</v>
      </c>
      <c r="Y7" s="26" t="s">
        <v>291</v>
      </c>
      <c r="Z7" s="26" t="s">
        <v>291</v>
      </c>
      <c r="AA7" s="26" t="s">
        <v>291</v>
      </c>
      <c r="AB7" s="26" t="s">
        <v>291</v>
      </c>
      <c r="AC7" s="29" t="s">
        <v>285</v>
      </c>
      <c r="AD7" s="29" t="s">
        <v>285</v>
      </c>
      <c r="AE7" s="29" t="s">
        <v>285</v>
      </c>
      <c r="AF7" s="29" t="s">
        <v>285</v>
      </c>
      <c r="AG7" s="29" t="s">
        <v>285</v>
      </c>
      <c r="AH7" s="29" t="s">
        <v>285</v>
      </c>
      <c r="AI7" s="29" t="s">
        <v>285</v>
      </c>
      <c r="AJ7" s="29" t="s">
        <v>285</v>
      </c>
      <c r="AK7" s="27" t="s">
        <v>291</v>
      </c>
      <c r="AL7" s="27" t="s">
        <v>291</v>
      </c>
      <c r="AM7" s="27" t="s">
        <v>291</v>
      </c>
      <c r="AN7" s="27" t="s">
        <v>291</v>
      </c>
      <c r="AO7" s="27" t="s">
        <v>291</v>
      </c>
      <c r="AP7" s="27" t="s">
        <v>291</v>
      </c>
      <c r="AQ7" s="27" t="s">
        <v>291</v>
      </c>
      <c r="AR7" s="27" t="s">
        <v>291</v>
      </c>
      <c r="AS7" s="27" t="s">
        <v>291</v>
      </c>
      <c r="AT7" s="27" t="s">
        <v>291</v>
      </c>
      <c r="AU7" s="27" t="s">
        <v>291</v>
      </c>
      <c r="AV7" s="27" t="s">
        <v>291</v>
      </c>
      <c r="AW7" s="27" t="s">
        <v>291</v>
      </c>
      <c r="AX7" s="26" t="s">
        <v>291</v>
      </c>
      <c r="AY7" s="26" t="s">
        <v>291</v>
      </c>
      <c r="AZ7" s="27" t="s">
        <v>291</v>
      </c>
      <c r="BA7" s="26" t="s">
        <v>291</v>
      </c>
      <c r="BB7" s="26" t="s">
        <v>291</v>
      </c>
      <c r="BC7" s="31">
        <v>10</v>
      </c>
      <c r="BD7" s="20">
        <v>0</v>
      </c>
      <c r="BG7" s="130">
        <v>5</v>
      </c>
      <c r="BH7" s="131" t="s">
        <v>185</v>
      </c>
      <c r="BI7" s="131" t="s">
        <v>224</v>
      </c>
      <c r="BJ7" s="132">
        <v>10</v>
      </c>
      <c r="BK7" s="133">
        <v>10</v>
      </c>
      <c r="BL7" s="132">
        <v>10</v>
      </c>
      <c r="BM7" s="132">
        <v>10</v>
      </c>
      <c r="BN7" s="132">
        <v>10</v>
      </c>
      <c r="BO7" s="132">
        <v>10</v>
      </c>
      <c r="BP7" t="str">
        <f t="shared" si="0"/>
        <v/>
      </c>
    </row>
    <row r="8" spans="1:68" ht="15.5" x14ac:dyDescent="0.35">
      <c r="A8" t="s">
        <v>16</v>
      </c>
      <c r="B8" s="98" t="s">
        <v>16</v>
      </c>
      <c r="C8" s="99" t="s">
        <v>225</v>
      </c>
      <c r="D8" s="100" t="s">
        <v>291</v>
      </c>
      <c r="E8" s="100" t="s">
        <v>291</v>
      </c>
      <c r="F8" s="100" t="s">
        <v>291</v>
      </c>
      <c r="G8" s="100" t="s">
        <v>292</v>
      </c>
      <c r="H8" s="100" t="s">
        <v>291</v>
      </c>
      <c r="I8" s="100" t="s">
        <v>292</v>
      </c>
      <c r="J8" s="102" t="s">
        <v>291</v>
      </c>
      <c r="K8" s="102" t="s">
        <v>291</v>
      </c>
      <c r="L8" s="102" t="s">
        <v>291</v>
      </c>
      <c r="M8" s="102" t="s">
        <v>291</v>
      </c>
      <c r="N8" s="23" t="s">
        <v>292</v>
      </c>
      <c r="O8" s="24" t="s">
        <v>291</v>
      </c>
      <c r="P8" s="24" t="s">
        <v>291</v>
      </c>
      <c r="Q8" s="24" t="s">
        <v>291</v>
      </c>
      <c r="R8" s="38" t="s">
        <v>285</v>
      </c>
      <c r="S8" s="24" t="s">
        <v>291</v>
      </c>
      <c r="T8" s="25" t="s">
        <v>291</v>
      </c>
      <c r="U8" s="25" t="s">
        <v>291</v>
      </c>
      <c r="V8" s="42" t="s">
        <v>291</v>
      </c>
      <c r="W8" s="26" t="s">
        <v>292</v>
      </c>
      <c r="X8" s="29" t="s">
        <v>285</v>
      </c>
      <c r="Y8" s="26" t="s">
        <v>291</v>
      </c>
      <c r="Z8" s="26" t="s">
        <v>291</v>
      </c>
      <c r="AA8" s="29" t="s">
        <v>285</v>
      </c>
      <c r="AB8" s="26" t="s">
        <v>291</v>
      </c>
      <c r="AC8" s="26" t="s">
        <v>292</v>
      </c>
      <c r="AD8" s="26" t="s">
        <v>292</v>
      </c>
      <c r="AE8" s="26" t="s">
        <v>291</v>
      </c>
      <c r="AF8" s="26" t="s">
        <v>292</v>
      </c>
      <c r="AG8" s="26" t="s">
        <v>292</v>
      </c>
      <c r="AH8" s="26" t="s">
        <v>292</v>
      </c>
      <c r="AI8" s="26" t="s">
        <v>292</v>
      </c>
      <c r="AJ8" s="26" t="s">
        <v>291</v>
      </c>
      <c r="AK8" s="27" t="s">
        <v>291</v>
      </c>
      <c r="AL8" s="27" t="s">
        <v>291</v>
      </c>
      <c r="AM8" s="27" t="s">
        <v>291</v>
      </c>
      <c r="AN8" s="45" t="s">
        <v>285</v>
      </c>
      <c r="AO8" s="27" t="s">
        <v>292</v>
      </c>
      <c r="AP8" s="27" t="s">
        <v>292</v>
      </c>
      <c r="AQ8" s="27" t="s">
        <v>291</v>
      </c>
      <c r="AR8" s="27" t="s">
        <v>291</v>
      </c>
      <c r="AS8" s="27" t="s">
        <v>292</v>
      </c>
      <c r="AT8" s="27" t="s">
        <v>291</v>
      </c>
      <c r="AU8" s="27" t="s">
        <v>291</v>
      </c>
      <c r="AV8" s="27" t="s">
        <v>291</v>
      </c>
      <c r="AW8" s="27" t="s">
        <v>291</v>
      </c>
      <c r="AX8" s="26" t="s">
        <v>291</v>
      </c>
      <c r="AY8" s="26" t="s">
        <v>291</v>
      </c>
      <c r="AZ8" s="27" t="s">
        <v>292</v>
      </c>
      <c r="BA8" s="26" t="s">
        <v>292</v>
      </c>
      <c r="BB8" s="29" t="s">
        <v>285</v>
      </c>
      <c r="BC8" s="31">
        <v>5</v>
      </c>
      <c r="BD8" s="31">
        <v>17</v>
      </c>
      <c r="BG8" s="135">
        <v>6</v>
      </c>
      <c r="BH8" s="131" t="s">
        <v>16</v>
      </c>
      <c r="BI8" s="131" t="s">
        <v>225</v>
      </c>
      <c r="BJ8" s="132">
        <v>10</v>
      </c>
      <c r="BK8" s="133">
        <v>10</v>
      </c>
      <c r="BL8" s="132">
        <v>10</v>
      </c>
      <c r="BM8" s="132">
        <v>10</v>
      </c>
      <c r="BN8" s="134"/>
      <c r="BO8" s="134"/>
      <c r="BP8">
        <f t="shared" si="0"/>
        <v>20</v>
      </c>
    </row>
    <row r="9" spans="1:68" ht="15.5" x14ac:dyDescent="0.35">
      <c r="A9" t="s">
        <v>20</v>
      </c>
      <c r="B9" s="98" t="s">
        <v>20</v>
      </c>
      <c r="C9" s="99" t="s">
        <v>134</v>
      </c>
      <c r="D9" s="100" t="s">
        <v>291</v>
      </c>
      <c r="E9" s="100" t="s">
        <v>292</v>
      </c>
      <c r="F9" s="100" t="s">
        <v>291</v>
      </c>
      <c r="G9" s="100" t="s">
        <v>291</v>
      </c>
      <c r="H9" s="100" t="s">
        <v>291</v>
      </c>
      <c r="I9" s="100" t="s">
        <v>291</v>
      </c>
      <c r="J9" s="102" t="s">
        <v>291</v>
      </c>
      <c r="K9" s="102" t="s">
        <v>291</v>
      </c>
      <c r="L9" s="102" t="s">
        <v>291</v>
      </c>
      <c r="M9" s="102" t="s">
        <v>291</v>
      </c>
      <c r="N9" s="23" t="s">
        <v>291</v>
      </c>
      <c r="O9" s="24" t="s">
        <v>291</v>
      </c>
      <c r="P9" s="24" t="s">
        <v>291</v>
      </c>
      <c r="Q9" s="24" t="s">
        <v>291</v>
      </c>
      <c r="R9" s="24" t="s">
        <v>291</v>
      </c>
      <c r="S9" s="24" t="s">
        <v>291</v>
      </c>
      <c r="T9" s="25" t="s">
        <v>291</v>
      </c>
      <c r="U9" s="25" t="s">
        <v>291</v>
      </c>
      <c r="V9" s="42" t="s">
        <v>291</v>
      </c>
      <c r="W9" s="26" t="s">
        <v>291</v>
      </c>
      <c r="X9" s="26" t="s">
        <v>291</v>
      </c>
      <c r="Y9" s="26" t="s">
        <v>291</v>
      </c>
      <c r="Z9" s="26" t="s">
        <v>291</v>
      </c>
      <c r="AA9" s="26" t="s">
        <v>291</v>
      </c>
      <c r="AB9" s="26" t="s">
        <v>291</v>
      </c>
      <c r="AC9" s="26" t="s">
        <v>291</v>
      </c>
      <c r="AD9" s="26" t="s">
        <v>291</v>
      </c>
      <c r="AE9" s="26" t="s">
        <v>291</v>
      </c>
      <c r="AF9" s="26" t="s">
        <v>291</v>
      </c>
      <c r="AG9" s="26" t="s">
        <v>291</v>
      </c>
      <c r="AH9" s="26" t="s">
        <v>291</v>
      </c>
      <c r="AI9" s="26" t="s">
        <v>291</v>
      </c>
      <c r="AJ9" s="26" t="s">
        <v>291</v>
      </c>
      <c r="AK9" s="27" t="s">
        <v>291</v>
      </c>
      <c r="AL9" s="27" t="s">
        <v>291</v>
      </c>
      <c r="AM9" s="45" t="s">
        <v>285</v>
      </c>
      <c r="AN9" s="27" t="s">
        <v>291</v>
      </c>
      <c r="AO9" s="27" t="s">
        <v>291</v>
      </c>
      <c r="AP9" s="27" t="s">
        <v>291</v>
      </c>
      <c r="AQ9" s="27" t="s">
        <v>291</v>
      </c>
      <c r="AR9" s="27" t="s">
        <v>291</v>
      </c>
      <c r="AS9" s="27" t="s">
        <v>292</v>
      </c>
      <c r="AT9" s="27" t="s">
        <v>291</v>
      </c>
      <c r="AU9" s="27" t="s">
        <v>291</v>
      </c>
      <c r="AV9" s="27" t="s">
        <v>291</v>
      </c>
      <c r="AW9" s="27" t="s">
        <v>291</v>
      </c>
      <c r="AX9" s="26" t="s">
        <v>291</v>
      </c>
      <c r="AY9" s="26" t="s">
        <v>291</v>
      </c>
      <c r="AZ9" s="27" t="s">
        <v>291</v>
      </c>
      <c r="BA9" s="26" t="s">
        <v>291</v>
      </c>
      <c r="BB9" s="26" t="s">
        <v>291</v>
      </c>
      <c r="BC9" s="20">
        <v>1</v>
      </c>
      <c r="BD9" s="20">
        <v>2</v>
      </c>
      <c r="BG9" s="130">
        <v>7</v>
      </c>
      <c r="BH9" s="131" t="s">
        <v>20</v>
      </c>
      <c r="BI9" s="131" t="s">
        <v>134</v>
      </c>
      <c r="BJ9" s="132">
        <v>10</v>
      </c>
      <c r="BK9" s="133">
        <v>10</v>
      </c>
      <c r="BL9" s="132">
        <v>10</v>
      </c>
      <c r="BM9" s="132">
        <v>10</v>
      </c>
      <c r="BN9" s="134"/>
      <c r="BO9" s="134"/>
      <c r="BP9">
        <f t="shared" si="0"/>
        <v>20</v>
      </c>
    </row>
    <row r="10" spans="1:68" ht="15.5" x14ac:dyDescent="0.35">
      <c r="A10" t="s">
        <v>226</v>
      </c>
      <c r="B10" s="98" t="s">
        <v>226</v>
      </c>
      <c r="C10" s="99" t="s">
        <v>227</v>
      </c>
      <c r="D10" s="100" t="s">
        <v>291</v>
      </c>
      <c r="E10" s="100" t="s">
        <v>291</v>
      </c>
      <c r="F10" s="100" t="s">
        <v>291</v>
      </c>
      <c r="G10" s="100" t="s">
        <v>291</v>
      </c>
      <c r="H10" s="100" t="s">
        <v>291</v>
      </c>
      <c r="I10" s="100" t="s">
        <v>291</v>
      </c>
      <c r="J10" s="102" t="s">
        <v>291</v>
      </c>
      <c r="K10" s="102" t="s">
        <v>291</v>
      </c>
      <c r="L10" s="102" t="s">
        <v>291</v>
      </c>
      <c r="M10" s="102" t="s">
        <v>291</v>
      </c>
      <c r="N10" s="23" t="s">
        <v>291</v>
      </c>
      <c r="O10" s="24" t="s">
        <v>291</v>
      </c>
      <c r="P10" s="24" t="s">
        <v>291</v>
      </c>
      <c r="Q10" s="24" t="s">
        <v>291</v>
      </c>
      <c r="R10" s="24" t="s">
        <v>291</v>
      </c>
      <c r="S10" s="24" t="s">
        <v>291</v>
      </c>
      <c r="T10" s="25" t="s">
        <v>291</v>
      </c>
      <c r="U10" s="25" t="s">
        <v>291</v>
      </c>
      <c r="V10" s="42" t="s">
        <v>291</v>
      </c>
      <c r="W10" s="26" t="s">
        <v>291</v>
      </c>
      <c r="X10" s="26" t="s">
        <v>291</v>
      </c>
      <c r="Y10" s="26" t="s">
        <v>291</v>
      </c>
      <c r="Z10" s="26" t="s">
        <v>291</v>
      </c>
      <c r="AA10" s="26" t="s">
        <v>291</v>
      </c>
      <c r="AB10" s="26" t="s">
        <v>291</v>
      </c>
      <c r="AC10" s="26" t="s">
        <v>291</v>
      </c>
      <c r="AD10" s="26" t="s">
        <v>291</v>
      </c>
      <c r="AE10" s="26" t="s">
        <v>291</v>
      </c>
      <c r="AF10" s="26" t="s">
        <v>291</v>
      </c>
      <c r="AG10" s="26" t="s">
        <v>291</v>
      </c>
      <c r="AH10" s="26" t="s">
        <v>291</v>
      </c>
      <c r="AI10" s="26" t="s">
        <v>291</v>
      </c>
      <c r="AJ10" s="26" t="s">
        <v>291</v>
      </c>
      <c r="AK10" s="27" t="s">
        <v>291</v>
      </c>
      <c r="AL10" s="27" t="s">
        <v>291</v>
      </c>
      <c r="AM10" s="27" t="s">
        <v>291</v>
      </c>
      <c r="AN10" s="27" t="s">
        <v>291</v>
      </c>
      <c r="AO10" s="27" t="s">
        <v>291</v>
      </c>
      <c r="AP10" s="45" t="s">
        <v>285</v>
      </c>
      <c r="AQ10" s="27" t="s">
        <v>291</v>
      </c>
      <c r="AR10" s="27" t="s">
        <v>291</v>
      </c>
      <c r="AS10" s="27" t="s">
        <v>291</v>
      </c>
      <c r="AT10" s="27" t="s">
        <v>291</v>
      </c>
      <c r="AU10" s="27" t="s">
        <v>291</v>
      </c>
      <c r="AV10" s="27" t="s">
        <v>291</v>
      </c>
      <c r="AW10" s="27" t="s">
        <v>291</v>
      </c>
      <c r="AX10" s="26" t="s">
        <v>291</v>
      </c>
      <c r="AY10" s="26" t="s">
        <v>291</v>
      </c>
      <c r="AZ10" s="27" t="s">
        <v>291</v>
      </c>
      <c r="BA10" s="26" t="s">
        <v>291</v>
      </c>
      <c r="BB10" s="26" t="s">
        <v>291</v>
      </c>
      <c r="BC10" s="20">
        <v>1</v>
      </c>
      <c r="BD10" s="20">
        <v>0</v>
      </c>
      <c r="BG10" s="136">
        <v>8</v>
      </c>
      <c r="BH10" s="131" t="s">
        <v>226</v>
      </c>
      <c r="BI10" s="131" t="s">
        <v>227</v>
      </c>
      <c r="BJ10" s="132">
        <v>10</v>
      </c>
      <c r="BK10" s="133">
        <v>10</v>
      </c>
      <c r="BL10" s="134"/>
      <c r="BM10" s="134"/>
      <c r="BN10" s="134"/>
      <c r="BO10" s="134"/>
      <c r="BP10">
        <f t="shared" si="0"/>
        <v>40</v>
      </c>
    </row>
    <row r="11" spans="1:68" ht="15.5" x14ac:dyDescent="0.35">
      <c r="A11" t="s">
        <v>228</v>
      </c>
      <c r="B11" s="98" t="s">
        <v>228</v>
      </c>
      <c r="C11" s="99" t="s">
        <v>229</v>
      </c>
      <c r="D11" s="100" t="s">
        <v>291</v>
      </c>
      <c r="E11" s="100" t="s">
        <v>291</v>
      </c>
      <c r="F11" s="100" t="s">
        <v>291</v>
      </c>
      <c r="G11" s="101" t="s">
        <v>285</v>
      </c>
      <c r="H11" s="100" t="s">
        <v>291</v>
      </c>
      <c r="I11" s="100" t="s">
        <v>291</v>
      </c>
      <c r="J11" s="102" t="s">
        <v>291</v>
      </c>
      <c r="K11" s="103" t="s">
        <v>285</v>
      </c>
      <c r="L11" s="102" t="s">
        <v>291</v>
      </c>
      <c r="M11" s="102" t="s">
        <v>291</v>
      </c>
      <c r="N11" s="28" t="s">
        <v>285</v>
      </c>
      <c r="O11" s="24" t="s">
        <v>292</v>
      </c>
      <c r="P11" s="24" t="s">
        <v>291</v>
      </c>
      <c r="Q11" s="24" t="s">
        <v>291</v>
      </c>
      <c r="R11" s="24" t="s">
        <v>291</v>
      </c>
      <c r="S11" s="38" t="s">
        <v>285</v>
      </c>
      <c r="T11" s="25" t="s">
        <v>291</v>
      </c>
      <c r="U11" s="60" t="s">
        <v>285</v>
      </c>
      <c r="V11" s="42" t="s">
        <v>292</v>
      </c>
      <c r="W11" s="26" t="s">
        <v>291</v>
      </c>
      <c r="X11" s="26" t="s">
        <v>291</v>
      </c>
      <c r="Y11" s="26" t="s">
        <v>292</v>
      </c>
      <c r="Z11" s="26" t="s">
        <v>291</v>
      </c>
      <c r="AA11" s="26" t="s">
        <v>291</v>
      </c>
      <c r="AB11" s="26" t="s">
        <v>291</v>
      </c>
      <c r="AC11" s="26" t="s">
        <v>291</v>
      </c>
      <c r="AD11" s="26" t="s">
        <v>292</v>
      </c>
      <c r="AE11" s="29" t="s">
        <v>285</v>
      </c>
      <c r="AF11" s="26" t="s">
        <v>291</v>
      </c>
      <c r="AG11" s="26" t="s">
        <v>292</v>
      </c>
      <c r="AH11" s="26" t="s">
        <v>291</v>
      </c>
      <c r="AI11" s="26" t="s">
        <v>291</v>
      </c>
      <c r="AJ11" s="26" t="s">
        <v>291</v>
      </c>
      <c r="AK11" s="27" t="s">
        <v>291</v>
      </c>
      <c r="AL11" s="27" t="s">
        <v>291</v>
      </c>
      <c r="AM11" s="27" t="s">
        <v>291</v>
      </c>
      <c r="AN11" s="27" t="s">
        <v>291</v>
      </c>
      <c r="AO11" s="27" t="s">
        <v>291</v>
      </c>
      <c r="AP11" s="27" t="s">
        <v>292</v>
      </c>
      <c r="AQ11" s="27" t="s">
        <v>291</v>
      </c>
      <c r="AR11" s="27" t="s">
        <v>291</v>
      </c>
      <c r="AS11" s="27" t="s">
        <v>291</v>
      </c>
      <c r="AT11" s="27" t="s">
        <v>292</v>
      </c>
      <c r="AU11" s="27" t="s">
        <v>291</v>
      </c>
      <c r="AV11" s="27" t="s">
        <v>291</v>
      </c>
      <c r="AW11" s="45" t="s">
        <v>285</v>
      </c>
      <c r="AX11" s="29" t="s">
        <v>285</v>
      </c>
      <c r="AY11" s="26" t="s">
        <v>291</v>
      </c>
      <c r="AZ11" s="27" t="s">
        <v>292</v>
      </c>
      <c r="BA11" s="26" t="s">
        <v>291</v>
      </c>
      <c r="BB11" s="26" t="s">
        <v>291</v>
      </c>
      <c r="BC11" s="31">
        <v>8</v>
      </c>
      <c r="BD11" s="31">
        <v>10</v>
      </c>
      <c r="BG11" s="130">
        <v>9</v>
      </c>
      <c r="BH11" s="131" t="s">
        <v>228</v>
      </c>
      <c r="BI11" s="131" t="s">
        <v>229</v>
      </c>
      <c r="BJ11" s="132">
        <v>10</v>
      </c>
      <c r="BK11" s="133">
        <v>10</v>
      </c>
      <c r="BL11" s="132">
        <v>10</v>
      </c>
      <c r="BM11" s="132">
        <v>10</v>
      </c>
      <c r="BN11" s="134"/>
      <c r="BO11" s="134"/>
      <c r="BP11">
        <f t="shared" si="0"/>
        <v>20</v>
      </c>
    </row>
    <row r="12" spans="1:68" ht="15.5" x14ac:dyDescent="0.35">
      <c r="A12" t="s">
        <v>230</v>
      </c>
      <c r="B12" s="98" t="s">
        <v>230</v>
      </c>
      <c r="C12" s="99" t="s">
        <v>231</v>
      </c>
      <c r="D12" s="100" t="s">
        <v>291</v>
      </c>
      <c r="E12" s="100" t="s">
        <v>291</v>
      </c>
      <c r="F12" s="100" t="s">
        <v>291</v>
      </c>
      <c r="G12" s="100" t="s">
        <v>291</v>
      </c>
      <c r="H12" s="100" t="s">
        <v>291</v>
      </c>
      <c r="I12" s="100" t="s">
        <v>291</v>
      </c>
      <c r="J12" s="102" t="s">
        <v>291</v>
      </c>
      <c r="K12" s="102" t="s">
        <v>291</v>
      </c>
      <c r="L12" s="102" t="s">
        <v>291</v>
      </c>
      <c r="M12" s="102" t="s">
        <v>291</v>
      </c>
      <c r="N12" s="23" t="s">
        <v>291</v>
      </c>
      <c r="O12" s="24" t="s">
        <v>291</v>
      </c>
      <c r="P12" s="24" t="s">
        <v>291</v>
      </c>
      <c r="Q12" s="24" t="s">
        <v>291</v>
      </c>
      <c r="R12" s="24" t="s">
        <v>291</v>
      </c>
      <c r="S12" s="24" t="s">
        <v>291</v>
      </c>
      <c r="T12" s="25" t="s">
        <v>291</v>
      </c>
      <c r="U12" s="25" t="s">
        <v>291</v>
      </c>
      <c r="V12" s="42" t="s">
        <v>291</v>
      </c>
      <c r="W12" s="26" t="s">
        <v>291</v>
      </c>
      <c r="X12" s="26" t="s">
        <v>291</v>
      </c>
      <c r="Y12" s="26" t="s">
        <v>291</v>
      </c>
      <c r="Z12" s="26" t="s">
        <v>291</v>
      </c>
      <c r="AA12" s="26" t="s">
        <v>291</v>
      </c>
      <c r="AB12" s="26" t="s">
        <v>291</v>
      </c>
      <c r="AC12" s="26" t="s">
        <v>291</v>
      </c>
      <c r="AD12" s="26" t="s">
        <v>291</v>
      </c>
      <c r="AE12" s="26" t="s">
        <v>291</v>
      </c>
      <c r="AF12" s="26" t="s">
        <v>291</v>
      </c>
      <c r="AG12" s="26" t="s">
        <v>291</v>
      </c>
      <c r="AH12" s="26" t="s">
        <v>291</v>
      </c>
      <c r="AI12" s="29" t="s">
        <v>285</v>
      </c>
      <c r="AJ12" s="26" t="s">
        <v>291</v>
      </c>
      <c r="AK12" s="27" t="s">
        <v>291</v>
      </c>
      <c r="AL12" s="27" t="s">
        <v>291</v>
      </c>
      <c r="AM12" s="27" t="s">
        <v>291</v>
      </c>
      <c r="AN12" s="27" t="s">
        <v>291</v>
      </c>
      <c r="AO12" s="27" t="s">
        <v>291</v>
      </c>
      <c r="AP12" s="27" t="s">
        <v>291</v>
      </c>
      <c r="AQ12" s="27" t="s">
        <v>291</v>
      </c>
      <c r="AR12" s="27" t="s">
        <v>291</v>
      </c>
      <c r="AS12" s="27" t="s">
        <v>291</v>
      </c>
      <c r="AT12" s="27" t="s">
        <v>291</v>
      </c>
      <c r="AU12" s="27" t="s">
        <v>291</v>
      </c>
      <c r="AV12" s="27" t="s">
        <v>291</v>
      </c>
      <c r="AW12" s="27" t="s">
        <v>291</v>
      </c>
      <c r="AX12" s="26" t="s">
        <v>291</v>
      </c>
      <c r="AY12" s="26" t="s">
        <v>291</v>
      </c>
      <c r="AZ12" s="27" t="s">
        <v>291</v>
      </c>
      <c r="BA12" s="26" t="s">
        <v>291</v>
      </c>
      <c r="BB12" s="26" t="s">
        <v>291</v>
      </c>
      <c r="BC12" s="20">
        <v>1</v>
      </c>
      <c r="BD12" s="20">
        <v>0</v>
      </c>
      <c r="BG12" s="130">
        <v>10</v>
      </c>
      <c r="BH12" s="131" t="s">
        <v>230</v>
      </c>
      <c r="BI12" s="131" t="s">
        <v>231</v>
      </c>
      <c r="BJ12" s="132">
        <v>10</v>
      </c>
      <c r="BK12" s="133">
        <v>10</v>
      </c>
      <c r="BL12" s="132">
        <v>10</v>
      </c>
      <c r="BM12" s="132">
        <v>10</v>
      </c>
      <c r="BN12" s="132">
        <v>10</v>
      </c>
      <c r="BO12" s="132">
        <v>10</v>
      </c>
      <c r="BP12" t="str">
        <f t="shared" si="0"/>
        <v/>
      </c>
    </row>
    <row r="13" spans="1:68" ht="15.5" x14ac:dyDescent="0.35">
      <c r="A13" t="s">
        <v>151</v>
      </c>
      <c r="B13" s="98" t="s">
        <v>151</v>
      </c>
      <c r="C13" s="99" t="s">
        <v>232</v>
      </c>
      <c r="D13" s="100" t="s">
        <v>291</v>
      </c>
      <c r="E13" s="100" t="s">
        <v>291</v>
      </c>
      <c r="F13" s="100" t="s">
        <v>291</v>
      </c>
      <c r="G13" s="100" t="s">
        <v>292</v>
      </c>
      <c r="H13" s="100" t="s">
        <v>291</v>
      </c>
      <c r="I13" s="100" t="s">
        <v>291</v>
      </c>
      <c r="J13" s="102" t="s">
        <v>291</v>
      </c>
      <c r="K13" s="102" t="s">
        <v>291</v>
      </c>
      <c r="L13" s="56" t="s">
        <v>285</v>
      </c>
      <c r="M13" s="104" t="s">
        <v>285</v>
      </c>
      <c r="N13" s="56" t="s">
        <v>285</v>
      </c>
      <c r="O13" s="24" t="s">
        <v>291</v>
      </c>
      <c r="P13" s="24" t="s">
        <v>291</v>
      </c>
      <c r="Q13" s="24" t="s">
        <v>291</v>
      </c>
      <c r="R13" s="24" t="s">
        <v>291</v>
      </c>
      <c r="S13" s="24" t="s">
        <v>291</v>
      </c>
      <c r="T13" s="25" t="s">
        <v>291</v>
      </c>
      <c r="U13" s="25" t="s">
        <v>291</v>
      </c>
      <c r="V13" s="42" t="s">
        <v>291</v>
      </c>
      <c r="W13" s="26" t="s">
        <v>291</v>
      </c>
      <c r="X13" s="26" t="s">
        <v>291</v>
      </c>
      <c r="Y13" s="26" t="s">
        <v>291</v>
      </c>
      <c r="Z13" s="26" t="s">
        <v>291</v>
      </c>
      <c r="AA13" s="26" t="s">
        <v>291</v>
      </c>
      <c r="AB13" s="26" t="s">
        <v>291</v>
      </c>
      <c r="AC13" s="26" t="s">
        <v>291</v>
      </c>
      <c r="AD13" s="26" t="s">
        <v>291</v>
      </c>
      <c r="AE13" s="26" t="s">
        <v>291</v>
      </c>
      <c r="AF13" s="29" t="s">
        <v>285</v>
      </c>
      <c r="AG13" s="26" t="s">
        <v>291</v>
      </c>
      <c r="AH13" s="26" t="s">
        <v>291</v>
      </c>
      <c r="AI13" s="26" t="s">
        <v>291</v>
      </c>
      <c r="AJ13" s="26" t="s">
        <v>291</v>
      </c>
      <c r="AK13" s="27" t="s">
        <v>291</v>
      </c>
      <c r="AL13" s="27" t="s">
        <v>291</v>
      </c>
      <c r="AM13" s="27" t="s">
        <v>291</v>
      </c>
      <c r="AN13" s="27" t="s">
        <v>291</v>
      </c>
      <c r="AO13" s="27" t="s">
        <v>291</v>
      </c>
      <c r="AP13" s="27" t="s">
        <v>291</v>
      </c>
      <c r="AQ13" s="27" t="s">
        <v>291</v>
      </c>
      <c r="AR13" s="45" t="s">
        <v>285</v>
      </c>
      <c r="AS13" s="27" t="s">
        <v>291</v>
      </c>
      <c r="AT13" s="27" t="s">
        <v>291</v>
      </c>
      <c r="AU13" s="27" t="s">
        <v>291</v>
      </c>
      <c r="AV13" s="27" t="s">
        <v>291</v>
      </c>
      <c r="AW13" s="27" t="s">
        <v>291</v>
      </c>
      <c r="AX13" s="26" t="s">
        <v>291</v>
      </c>
      <c r="AY13" s="26" t="s">
        <v>291</v>
      </c>
      <c r="AZ13" s="27" t="s">
        <v>291</v>
      </c>
      <c r="BA13" s="26" t="s">
        <v>291</v>
      </c>
      <c r="BB13" s="29" t="s">
        <v>285</v>
      </c>
      <c r="BC13" s="31">
        <v>6</v>
      </c>
      <c r="BD13" s="20">
        <v>1</v>
      </c>
      <c r="BG13" s="130">
        <v>11</v>
      </c>
      <c r="BH13" s="131" t="s">
        <v>151</v>
      </c>
      <c r="BI13" s="131" t="s">
        <v>232</v>
      </c>
      <c r="BJ13" s="132">
        <v>10</v>
      </c>
      <c r="BK13" s="133">
        <v>10</v>
      </c>
      <c r="BL13" s="132">
        <v>10</v>
      </c>
      <c r="BM13" s="132">
        <v>10</v>
      </c>
      <c r="BN13" s="134"/>
      <c r="BO13" s="134"/>
      <c r="BP13">
        <f t="shared" si="0"/>
        <v>20</v>
      </c>
    </row>
    <row r="14" spans="1:68" ht="15.5" x14ac:dyDescent="0.35">
      <c r="A14" t="s">
        <v>233</v>
      </c>
      <c r="B14" s="98" t="s">
        <v>233</v>
      </c>
      <c r="C14" s="99" t="s">
        <v>102</v>
      </c>
      <c r="D14" s="101" t="s">
        <v>285</v>
      </c>
      <c r="E14" s="100" t="s">
        <v>291</v>
      </c>
      <c r="F14" s="100" t="s">
        <v>291</v>
      </c>
      <c r="G14" s="101" t="s">
        <v>285</v>
      </c>
      <c r="H14" s="100" t="s">
        <v>291</v>
      </c>
      <c r="I14" s="100" t="s">
        <v>291</v>
      </c>
      <c r="J14" s="102" t="s">
        <v>291</v>
      </c>
      <c r="K14" s="102" t="s">
        <v>291</v>
      </c>
      <c r="L14" s="102" t="s">
        <v>291</v>
      </c>
      <c r="M14" s="102" t="s">
        <v>291</v>
      </c>
      <c r="N14" s="23" t="s">
        <v>291</v>
      </c>
      <c r="O14" s="24" t="s">
        <v>291</v>
      </c>
      <c r="P14" s="24" t="s">
        <v>291</v>
      </c>
      <c r="Q14" s="38" t="s">
        <v>285</v>
      </c>
      <c r="R14" s="24" t="s">
        <v>291</v>
      </c>
      <c r="S14" s="24" t="s">
        <v>291</v>
      </c>
      <c r="T14" s="25" t="s">
        <v>291</v>
      </c>
      <c r="U14" s="25" t="s">
        <v>291</v>
      </c>
      <c r="V14" s="42" t="s">
        <v>291</v>
      </c>
      <c r="W14" s="26" t="s">
        <v>291</v>
      </c>
      <c r="X14" s="26" t="s">
        <v>291</v>
      </c>
      <c r="Y14" s="26" t="s">
        <v>291</v>
      </c>
      <c r="Z14" s="26" t="s">
        <v>291</v>
      </c>
      <c r="AA14" s="26" t="s">
        <v>291</v>
      </c>
      <c r="AB14" s="26" t="s">
        <v>291</v>
      </c>
      <c r="AC14" s="26" t="s">
        <v>291</v>
      </c>
      <c r="AD14" s="26" t="s">
        <v>291</v>
      </c>
      <c r="AE14" s="26" t="s">
        <v>291</v>
      </c>
      <c r="AF14" s="29" t="s">
        <v>285</v>
      </c>
      <c r="AG14" s="29" t="s">
        <v>285</v>
      </c>
      <c r="AH14" s="26" t="s">
        <v>291</v>
      </c>
      <c r="AI14" s="26" t="s">
        <v>291</v>
      </c>
      <c r="AJ14" s="29" t="s">
        <v>285</v>
      </c>
      <c r="AK14" s="27" t="s">
        <v>291</v>
      </c>
      <c r="AL14" s="27" t="s">
        <v>291</v>
      </c>
      <c r="AM14" s="27" t="s">
        <v>291</v>
      </c>
      <c r="AN14" s="27" t="s">
        <v>291</v>
      </c>
      <c r="AO14" s="27" t="s">
        <v>291</v>
      </c>
      <c r="AP14" s="27" t="s">
        <v>291</v>
      </c>
      <c r="AQ14" s="27" t="s">
        <v>291</v>
      </c>
      <c r="AR14" s="27" t="s">
        <v>291</v>
      </c>
      <c r="AS14" s="27" t="s">
        <v>291</v>
      </c>
      <c r="AT14" s="45" t="s">
        <v>285</v>
      </c>
      <c r="AU14" s="27" t="s">
        <v>291</v>
      </c>
      <c r="AV14" s="27" t="s">
        <v>291</v>
      </c>
      <c r="AW14" s="27" t="s">
        <v>291</v>
      </c>
      <c r="AX14" s="26" t="s">
        <v>291</v>
      </c>
      <c r="AY14" s="26" t="s">
        <v>291</v>
      </c>
      <c r="AZ14" s="27" t="s">
        <v>291</v>
      </c>
      <c r="BA14" s="26" t="s">
        <v>291</v>
      </c>
      <c r="BB14" s="29" t="s">
        <v>285</v>
      </c>
      <c r="BC14" s="31">
        <v>8</v>
      </c>
      <c r="BD14" s="20">
        <v>0</v>
      </c>
      <c r="BG14" s="130">
        <v>12</v>
      </c>
      <c r="BH14" s="131" t="s">
        <v>233</v>
      </c>
      <c r="BI14" s="131" t="s">
        <v>102</v>
      </c>
      <c r="BJ14" s="132">
        <v>10</v>
      </c>
      <c r="BK14" s="133">
        <v>10</v>
      </c>
      <c r="BL14" s="132">
        <v>10</v>
      </c>
      <c r="BM14" s="132">
        <v>10</v>
      </c>
      <c r="BN14" s="134"/>
      <c r="BO14" s="134"/>
      <c r="BP14">
        <f t="shared" si="0"/>
        <v>20</v>
      </c>
    </row>
    <row r="15" spans="1:68" ht="15.5" x14ac:dyDescent="0.35">
      <c r="A15" t="s">
        <v>234</v>
      </c>
      <c r="B15" s="98" t="s">
        <v>234</v>
      </c>
      <c r="C15" s="99" t="s">
        <v>33</v>
      </c>
      <c r="D15" s="100" t="s">
        <v>291</v>
      </c>
      <c r="E15" s="100" t="s">
        <v>291</v>
      </c>
      <c r="F15" s="100" t="s">
        <v>291</v>
      </c>
      <c r="G15" s="100" t="s">
        <v>291</v>
      </c>
      <c r="H15" s="100" t="s">
        <v>291</v>
      </c>
      <c r="I15" s="100" t="s">
        <v>291</v>
      </c>
      <c r="J15" s="102" t="s">
        <v>291</v>
      </c>
      <c r="K15" s="102" t="s">
        <v>291</v>
      </c>
      <c r="L15" s="102" t="s">
        <v>291</v>
      </c>
      <c r="M15" s="102" t="s">
        <v>291</v>
      </c>
      <c r="N15" s="23" t="s">
        <v>291</v>
      </c>
      <c r="O15" s="24" t="s">
        <v>291</v>
      </c>
      <c r="P15" s="24" t="s">
        <v>291</v>
      </c>
      <c r="Q15" s="24" t="s">
        <v>291</v>
      </c>
      <c r="R15" s="38" t="s">
        <v>285</v>
      </c>
      <c r="S15" s="24" t="s">
        <v>291</v>
      </c>
      <c r="T15" s="60" t="s">
        <v>285</v>
      </c>
      <c r="U15" s="25" t="s">
        <v>291</v>
      </c>
      <c r="V15" s="42" t="s">
        <v>291</v>
      </c>
      <c r="W15" s="26" t="s">
        <v>291</v>
      </c>
      <c r="X15" s="26" t="s">
        <v>291</v>
      </c>
      <c r="Y15" s="29" t="s">
        <v>285</v>
      </c>
      <c r="Z15" s="26" t="s">
        <v>291</v>
      </c>
      <c r="AA15" s="26" t="s">
        <v>291</v>
      </c>
      <c r="AB15" s="26" t="s">
        <v>291</v>
      </c>
      <c r="AC15" s="26" t="s">
        <v>291</v>
      </c>
      <c r="AD15" s="26" t="s">
        <v>291</v>
      </c>
      <c r="AE15" s="26" t="s">
        <v>291</v>
      </c>
      <c r="AF15" s="26" t="s">
        <v>291</v>
      </c>
      <c r="AG15" s="26" t="s">
        <v>291</v>
      </c>
      <c r="AH15" s="29" t="s">
        <v>285</v>
      </c>
      <c r="AI15" s="29" t="s">
        <v>285</v>
      </c>
      <c r="AJ15" s="26" t="s">
        <v>291</v>
      </c>
      <c r="AK15" s="27" t="s">
        <v>291</v>
      </c>
      <c r="AL15" s="27" t="s">
        <v>291</v>
      </c>
      <c r="AM15" s="27" t="s">
        <v>291</v>
      </c>
      <c r="AN15" s="27" t="s">
        <v>291</v>
      </c>
      <c r="AO15" s="27" t="s">
        <v>291</v>
      </c>
      <c r="AP15" s="27" t="s">
        <v>291</v>
      </c>
      <c r="AQ15" s="27" t="s">
        <v>291</v>
      </c>
      <c r="AR15" s="27" t="s">
        <v>291</v>
      </c>
      <c r="AS15" s="27" t="s">
        <v>291</v>
      </c>
      <c r="AT15" s="45" t="s">
        <v>285</v>
      </c>
      <c r="AU15" s="27" t="s">
        <v>291</v>
      </c>
      <c r="AV15" s="27" t="s">
        <v>291</v>
      </c>
      <c r="AW15" s="27" t="s">
        <v>291</v>
      </c>
      <c r="AX15" s="26" t="s">
        <v>291</v>
      </c>
      <c r="AY15" s="29" t="s">
        <v>285</v>
      </c>
      <c r="AZ15" s="27" t="s">
        <v>291</v>
      </c>
      <c r="BA15" s="26" t="s">
        <v>291</v>
      </c>
      <c r="BB15" s="26" t="s">
        <v>291</v>
      </c>
      <c r="BC15" s="31">
        <v>7</v>
      </c>
      <c r="BD15" s="20">
        <v>0</v>
      </c>
      <c r="BG15" s="130">
        <v>13</v>
      </c>
      <c r="BH15" s="131" t="s">
        <v>234</v>
      </c>
      <c r="BI15" s="131" t="s">
        <v>33</v>
      </c>
      <c r="BJ15" s="132">
        <v>10</v>
      </c>
      <c r="BK15" s="133">
        <v>10</v>
      </c>
      <c r="BL15" s="132">
        <v>10</v>
      </c>
      <c r="BM15" s="132">
        <v>10</v>
      </c>
      <c r="BN15" s="134"/>
      <c r="BO15" s="134"/>
      <c r="BP15">
        <f t="shared" si="0"/>
        <v>20</v>
      </c>
    </row>
    <row r="16" spans="1:68" ht="15.5" x14ac:dyDescent="0.35">
      <c r="A16" t="s">
        <v>185</v>
      </c>
      <c r="B16" s="98" t="s">
        <v>185</v>
      </c>
      <c r="C16" s="99" t="s">
        <v>235</v>
      </c>
      <c r="D16" s="100" t="s">
        <v>291</v>
      </c>
      <c r="E16" s="100" t="s">
        <v>291</v>
      </c>
      <c r="F16" s="100" t="s">
        <v>291</v>
      </c>
      <c r="G16" s="100" t="s">
        <v>291</v>
      </c>
      <c r="H16" s="100" t="s">
        <v>291</v>
      </c>
      <c r="I16" s="100" t="s">
        <v>291</v>
      </c>
      <c r="J16" s="102" t="s">
        <v>291</v>
      </c>
      <c r="K16" s="102" t="s">
        <v>291</v>
      </c>
      <c r="L16" s="102" t="s">
        <v>291</v>
      </c>
      <c r="M16" s="102" t="s">
        <v>291</v>
      </c>
      <c r="N16" s="23" t="s">
        <v>291</v>
      </c>
      <c r="O16" s="24" t="s">
        <v>291</v>
      </c>
      <c r="P16" s="24" t="s">
        <v>291</v>
      </c>
      <c r="Q16" s="24" t="s">
        <v>291</v>
      </c>
      <c r="R16" s="24" t="s">
        <v>291</v>
      </c>
      <c r="S16" s="24" t="s">
        <v>291</v>
      </c>
      <c r="T16" s="25" t="s">
        <v>291</v>
      </c>
      <c r="U16" s="25" t="s">
        <v>291</v>
      </c>
      <c r="V16" s="42" t="s">
        <v>291</v>
      </c>
      <c r="W16" s="26" t="s">
        <v>291</v>
      </c>
      <c r="X16" s="26" t="s">
        <v>291</v>
      </c>
      <c r="Y16" s="26" t="s">
        <v>291</v>
      </c>
      <c r="Z16" s="26" t="s">
        <v>291</v>
      </c>
      <c r="AA16" s="26" t="s">
        <v>291</v>
      </c>
      <c r="AB16" s="26" t="s">
        <v>291</v>
      </c>
      <c r="AC16" s="26" t="s">
        <v>291</v>
      </c>
      <c r="AD16" s="26" t="s">
        <v>291</v>
      </c>
      <c r="AE16" s="26" t="s">
        <v>291</v>
      </c>
      <c r="AF16" s="26" t="s">
        <v>291</v>
      </c>
      <c r="AG16" s="26" t="s">
        <v>291</v>
      </c>
      <c r="AH16" s="26" t="s">
        <v>291</v>
      </c>
      <c r="AI16" s="26" t="s">
        <v>291</v>
      </c>
      <c r="AJ16" s="26" t="s">
        <v>291</v>
      </c>
      <c r="AK16" s="27" t="s">
        <v>291</v>
      </c>
      <c r="AL16" s="27" t="s">
        <v>291</v>
      </c>
      <c r="AM16" s="27" t="s">
        <v>291</v>
      </c>
      <c r="AN16" s="27" t="s">
        <v>291</v>
      </c>
      <c r="AO16" s="27" t="s">
        <v>291</v>
      </c>
      <c r="AP16" s="27" t="s">
        <v>291</v>
      </c>
      <c r="AQ16" s="27" t="s">
        <v>291</v>
      </c>
      <c r="AR16" s="27" t="s">
        <v>291</v>
      </c>
      <c r="AS16" s="27" t="s">
        <v>291</v>
      </c>
      <c r="AT16" s="27" t="s">
        <v>291</v>
      </c>
      <c r="AU16" s="27" t="s">
        <v>291</v>
      </c>
      <c r="AV16" s="27" t="s">
        <v>291</v>
      </c>
      <c r="AW16" s="27" t="s">
        <v>291</v>
      </c>
      <c r="AX16" s="26" t="s">
        <v>291</v>
      </c>
      <c r="AY16" s="26" t="s">
        <v>291</v>
      </c>
      <c r="AZ16" s="27" t="s">
        <v>291</v>
      </c>
      <c r="BA16" s="26" t="s">
        <v>291</v>
      </c>
      <c r="BB16" s="26" t="s">
        <v>291</v>
      </c>
      <c r="BC16" s="20">
        <v>0</v>
      </c>
      <c r="BD16" s="20">
        <v>0</v>
      </c>
      <c r="BG16" s="135">
        <v>14</v>
      </c>
      <c r="BH16" s="131" t="s">
        <v>185</v>
      </c>
      <c r="BI16" s="131" t="s">
        <v>235</v>
      </c>
      <c r="BJ16" s="132">
        <v>10</v>
      </c>
      <c r="BK16" s="133">
        <v>10</v>
      </c>
      <c r="BL16" s="132">
        <v>10</v>
      </c>
      <c r="BM16" s="132">
        <v>10</v>
      </c>
      <c r="BN16" s="134"/>
      <c r="BO16" s="134"/>
      <c r="BP16">
        <f t="shared" si="0"/>
        <v>20</v>
      </c>
    </row>
    <row r="17" spans="1:68" ht="15.5" x14ac:dyDescent="0.35">
      <c r="A17" t="s">
        <v>236</v>
      </c>
      <c r="B17" s="98" t="s">
        <v>236</v>
      </c>
      <c r="C17" s="99" t="s">
        <v>39</v>
      </c>
      <c r="D17" s="100" t="s">
        <v>291</v>
      </c>
      <c r="E17" s="100" t="s">
        <v>291</v>
      </c>
      <c r="F17" s="100" t="s">
        <v>291</v>
      </c>
      <c r="G17" s="100" t="s">
        <v>291</v>
      </c>
      <c r="H17" s="100" t="s">
        <v>291</v>
      </c>
      <c r="I17" s="100" t="s">
        <v>291</v>
      </c>
      <c r="J17" s="102" t="s">
        <v>291</v>
      </c>
      <c r="K17" s="102" t="s">
        <v>291</v>
      </c>
      <c r="L17" s="102" t="s">
        <v>291</v>
      </c>
      <c r="M17" s="102" t="s">
        <v>291</v>
      </c>
      <c r="N17" s="23" t="s">
        <v>291</v>
      </c>
      <c r="O17" s="24" t="s">
        <v>291</v>
      </c>
      <c r="P17" s="24" t="s">
        <v>291</v>
      </c>
      <c r="Q17" s="24" t="s">
        <v>292</v>
      </c>
      <c r="R17" s="24" t="s">
        <v>291</v>
      </c>
      <c r="S17" s="24" t="s">
        <v>291</v>
      </c>
      <c r="T17" s="60" t="s">
        <v>285</v>
      </c>
      <c r="U17" s="25" t="s">
        <v>291</v>
      </c>
      <c r="V17" s="42" t="s">
        <v>291</v>
      </c>
      <c r="W17" s="26" t="s">
        <v>291</v>
      </c>
      <c r="X17" s="26" t="s">
        <v>291</v>
      </c>
      <c r="Y17" s="26" t="s">
        <v>291</v>
      </c>
      <c r="Z17" s="29" t="s">
        <v>285</v>
      </c>
      <c r="AA17" s="26" t="s">
        <v>291</v>
      </c>
      <c r="AB17" s="26" t="s">
        <v>291</v>
      </c>
      <c r="AC17" s="26" t="s">
        <v>291</v>
      </c>
      <c r="AD17" s="26" t="s">
        <v>291</v>
      </c>
      <c r="AE17" s="26" t="s">
        <v>291</v>
      </c>
      <c r="AF17" s="29" t="s">
        <v>285</v>
      </c>
      <c r="AG17" s="26" t="s">
        <v>291</v>
      </c>
      <c r="AH17" s="26" t="s">
        <v>291</v>
      </c>
      <c r="AI17" s="29" t="s">
        <v>285</v>
      </c>
      <c r="AJ17" s="26" t="s">
        <v>291</v>
      </c>
      <c r="AK17" s="27" t="s">
        <v>291</v>
      </c>
      <c r="AL17" s="27" t="s">
        <v>291</v>
      </c>
      <c r="AM17" s="27" t="s">
        <v>291</v>
      </c>
      <c r="AN17" s="45" t="s">
        <v>285</v>
      </c>
      <c r="AO17" s="27" t="s">
        <v>291</v>
      </c>
      <c r="AP17" s="27" t="s">
        <v>291</v>
      </c>
      <c r="AQ17" s="27" t="s">
        <v>291</v>
      </c>
      <c r="AR17" s="27" t="s">
        <v>291</v>
      </c>
      <c r="AS17" s="27" t="s">
        <v>291</v>
      </c>
      <c r="AT17" s="27" t="s">
        <v>291</v>
      </c>
      <c r="AU17" s="45" t="s">
        <v>285</v>
      </c>
      <c r="AV17" s="45" t="s">
        <v>285</v>
      </c>
      <c r="AW17" s="45" t="s">
        <v>285</v>
      </c>
      <c r="AX17" s="26" t="s">
        <v>291</v>
      </c>
      <c r="AY17" s="29" t="s">
        <v>285</v>
      </c>
      <c r="AZ17" s="27" t="s">
        <v>291</v>
      </c>
      <c r="BA17" s="26" t="s">
        <v>291</v>
      </c>
      <c r="BB17" s="26" t="s">
        <v>291</v>
      </c>
      <c r="BC17" s="31">
        <v>10</v>
      </c>
      <c r="BD17" s="20">
        <v>1</v>
      </c>
      <c r="BG17" s="130">
        <v>15</v>
      </c>
      <c r="BH17" s="131" t="s">
        <v>236</v>
      </c>
      <c r="BI17" s="131" t="s">
        <v>39</v>
      </c>
      <c r="BJ17" s="132">
        <v>10</v>
      </c>
      <c r="BK17" s="133">
        <v>10</v>
      </c>
      <c r="BL17" s="132">
        <v>10</v>
      </c>
      <c r="BM17" s="132">
        <v>10</v>
      </c>
      <c r="BN17" s="134"/>
      <c r="BO17" s="134"/>
      <c r="BP17">
        <f t="shared" si="0"/>
        <v>20</v>
      </c>
    </row>
    <row r="18" spans="1:68" ht="15.5" x14ac:dyDescent="0.35">
      <c r="A18" t="s">
        <v>237</v>
      </c>
      <c r="B18" s="98" t="s">
        <v>237</v>
      </c>
      <c r="C18" s="99" t="s">
        <v>238</v>
      </c>
      <c r="D18" s="100" t="s">
        <v>291</v>
      </c>
      <c r="E18" s="100" t="s">
        <v>291</v>
      </c>
      <c r="F18" s="100" t="s">
        <v>291</v>
      </c>
      <c r="G18" s="100" t="s">
        <v>291</v>
      </c>
      <c r="H18" s="100" t="s">
        <v>291</v>
      </c>
      <c r="I18" s="100" t="s">
        <v>291</v>
      </c>
      <c r="J18" s="102" t="s">
        <v>291</v>
      </c>
      <c r="K18" s="102" t="s">
        <v>291</v>
      </c>
      <c r="L18" s="102" t="s">
        <v>291</v>
      </c>
      <c r="M18" s="102" t="s">
        <v>291</v>
      </c>
      <c r="N18" s="23" t="s">
        <v>292</v>
      </c>
      <c r="O18" s="24" t="s">
        <v>291</v>
      </c>
      <c r="P18" s="24" t="s">
        <v>291</v>
      </c>
      <c r="Q18" s="24" t="s">
        <v>291</v>
      </c>
      <c r="R18" s="24" t="s">
        <v>291</v>
      </c>
      <c r="S18" s="24" t="s">
        <v>291</v>
      </c>
      <c r="T18" s="25" t="s">
        <v>291</v>
      </c>
      <c r="U18" s="25" t="s">
        <v>291</v>
      </c>
      <c r="V18" s="42" t="s">
        <v>291</v>
      </c>
      <c r="W18" s="26" t="s">
        <v>291</v>
      </c>
      <c r="X18" s="26" t="s">
        <v>291</v>
      </c>
      <c r="Y18" s="26" t="s">
        <v>291</v>
      </c>
      <c r="Z18" s="26" t="s">
        <v>291</v>
      </c>
      <c r="AA18" s="26" t="s">
        <v>291</v>
      </c>
      <c r="AB18" s="26" t="s">
        <v>291</v>
      </c>
      <c r="AC18" s="26" t="s">
        <v>291</v>
      </c>
      <c r="AD18" s="26" t="s">
        <v>291</v>
      </c>
      <c r="AE18" s="26" t="s">
        <v>291</v>
      </c>
      <c r="AF18" s="26" t="s">
        <v>291</v>
      </c>
      <c r="AG18" s="26" t="s">
        <v>291</v>
      </c>
      <c r="AH18" s="26" t="s">
        <v>292</v>
      </c>
      <c r="AI18" s="26" t="s">
        <v>291</v>
      </c>
      <c r="AJ18" s="26" t="s">
        <v>291</v>
      </c>
      <c r="AK18" s="27" t="s">
        <v>291</v>
      </c>
      <c r="AL18" s="27" t="s">
        <v>291</v>
      </c>
      <c r="AM18" s="27" t="s">
        <v>291</v>
      </c>
      <c r="AN18" s="27" t="s">
        <v>291</v>
      </c>
      <c r="AO18" s="27" t="s">
        <v>291</v>
      </c>
      <c r="AP18" s="27" t="s">
        <v>291</v>
      </c>
      <c r="AQ18" s="27" t="s">
        <v>291</v>
      </c>
      <c r="AR18" s="27" t="s">
        <v>291</v>
      </c>
      <c r="AS18" s="27" t="s">
        <v>291</v>
      </c>
      <c r="AT18" s="45" t="s">
        <v>285</v>
      </c>
      <c r="AU18" s="27" t="s">
        <v>292</v>
      </c>
      <c r="AV18" s="27" t="s">
        <v>291</v>
      </c>
      <c r="AW18" s="45" t="s">
        <v>285</v>
      </c>
      <c r="AX18" s="26" t="s">
        <v>291</v>
      </c>
      <c r="AY18" s="26" t="s">
        <v>291</v>
      </c>
      <c r="AZ18" s="27" t="s">
        <v>291</v>
      </c>
      <c r="BA18" s="26" t="s">
        <v>291</v>
      </c>
      <c r="BB18" s="26" t="s">
        <v>291</v>
      </c>
      <c r="BC18" s="20">
        <v>2</v>
      </c>
      <c r="BD18" s="20">
        <v>3</v>
      </c>
      <c r="BG18" s="130">
        <v>16</v>
      </c>
      <c r="BH18" s="131" t="s">
        <v>237</v>
      </c>
      <c r="BI18" s="131" t="s">
        <v>238</v>
      </c>
      <c r="BJ18" s="132">
        <v>10</v>
      </c>
      <c r="BK18" s="133">
        <v>10</v>
      </c>
      <c r="BL18" s="132">
        <v>10</v>
      </c>
      <c r="BM18" s="132">
        <v>10</v>
      </c>
      <c r="BN18" s="134"/>
      <c r="BO18" s="134"/>
      <c r="BP18">
        <f t="shared" si="0"/>
        <v>20</v>
      </c>
    </row>
    <row r="19" spans="1:68" ht="15.5" x14ac:dyDescent="0.35">
      <c r="A19" t="s">
        <v>239</v>
      </c>
      <c r="B19" s="98" t="s">
        <v>239</v>
      </c>
      <c r="C19" s="99" t="s">
        <v>240</v>
      </c>
      <c r="D19" s="100" t="s">
        <v>291</v>
      </c>
      <c r="E19" s="100" t="s">
        <v>291</v>
      </c>
      <c r="F19" s="100" t="s">
        <v>291</v>
      </c>
      <c r="G19" s="100" t="s">
        <v>291</v>
      </c>
      <c r="H19" s="100" t="s">
        <v>291</v>
      </c>
      <c r="I19" s="100" t="s">
        <v>291</v>
      </c>
      <c r="J19" s="102" t="s">
        <v>291</v>
      </c>
      <c r="K19" s="102" t="s">
        <v>291</v>
      </c>
      <c r="L19" s="102" t="s">
        <v>291</v>
      </c>
      <c r="M19" s="102" t="s">
        <v>291</v>
      </c>
      <c r="N19" s="28" t="s">
        <v>285</v>
      </c>
      <c r="O19" s="24" t="s">
        <v>291</v>
      </c>
      <c r="P19" s="24" t="s">
        <v>291</v>
      </c>
      <c r="Q19" s="24" t="s">
        <v>291</v>
      </c>
      <c r="R19" s="24" t="s">
        <v>291</v>
      </c>
      <c r="S19" s="24" t="s">
        <v>291</v>
      </c>
      <c r="T19" s="25" t="s">
        <v>291</v>
      </c>
      <c r="U19" s="25" t="s">
        <v>291</v>
      </c>
      <c r="V19" s="46" t="s">
        <v>285</v>
      </c>
      <c r="W19" s="26" t="s">
        <v>291</v>
      </c>
      <c r="X19" s="26" t="s">
        <v>291</v>
      </c>
      <c r="Y19" s="26" t="s">
        <v>291</v>
      </c>
      <c r="Z19" s="26" t="s">
        <v>291</v>
      </c>
      <c r="AA19" s="26" t="s">
        <v>291</v>
      </c>
      <c r="AB19" s="26" t="s">
        <v>291</v>
      </c>
      <c r="AC19" s="29" t="s">
        <v>285</v>
      </c>
      <c r="AD19" s="26" t="s">
        <v>291</v>
      </c>
      <c r="AE19" s="26" t="s">
        <v>291</v>
      </c>
      <c r="AF19" s="26" t="s">
        <v>291</v>
      </c>
      <c r="AG19" s="26" t="s">
        <v>291</v>
      </c>
      <c r="AH19" s="26" t="s">
        <v>291</v>
      </c>
      <c r="AI19" s="26" t="s">
        <v>291</v>
      </c>
      <c r="AJ19" s="26" t="s">
        <v>291</v>
      </c>
      <c r="AK19" s="27" t="s">
        <v>291</v>
      </c>
      <c r="AL19" s="27" t="s">
        <v>291</v>
      </c>
      <c r="AM19" s="27" t="s">
        <v>291</v>
      </c>
      <c r="AN19" s="27" t="s">
        <v>291</v>
      </c>
      <c r="AO19" s="27" t="s">
        <v>291</v>
      </c>
      <c r="AP19" s="27" t="s">
        <v>291</v>
      </c>
      <c r="AQ19" s="27" t="s">
        <v>291</v>
      </c>
      <c r="AR19" s="27" t="s">
        <v>291</v>
      </c>
      <c r="AS19" s="27" t="s">
        <v>291</v>
      </c>
      <c r="AT19" s="27" t="s">
        <v>291</v>
      </c>
      <c r="AU19" s="27" t="s">
        <v>291</v>
      </c>
      <c r="AV19" s="27" t="s">
        <v>291</v>
      </c>
      <c r="AW19" s="27" t="s">
        <v>291</v>
      </c>
      <c r="AX19" s="26" t="s">
        <v>291</v>
      </c>
      <c r="AY19" s="26" t="s">
        <v>291</v>
      </c>
      <c r="AZ19" s="27" t="s">
        <v>291</v>
      </c>
      <c r="BA19" s="26" t="s">
        <v>291</v>
      </c>
      <c r="BB19" s="26" t="s">
        <v>291</v>
      </c>
      <c r="BC19" s="20">
        <v>3</v>
      </c>
      <c r="BD19" s="20">
        <v>0</v>
      </c>
      <c r="BG19" s="130">
        <v>17</v>
      </c>
      <c r="BH19" s="131" t="s">
        <v>239</v>
      </c>
      <c r="BI19" s="131" t="s">
        <v>240</v>
      </c>
      <c r="BJ19" s="132">
        <v>10</v>
      </c>
      <c r="BK19" s="133">
        <v>10</v>
      </c>
      <c r="BL19" s="132">
        <v>10</v>
      </c>
      <c r="BM19" s="132">
        <v>10</v>
      </c>
      <c r="BN19" s="134"/>
      <c r="BO19" s="134"/>
      <c r="BP19">
        <f t="shared" si="0"/>
        <v>20</v>
      </c>
    </row>
    <row r="20" spans="1:68" ht="15.5" x14ac:dyDescent="0.35">
      <c r="A20" t="s">
        <v>63</v>
      </c>
      <c r="B20" s="98" t="s">
        <v>63</v>
      </c>
      <c r="C20" s="99" t="s">
        <v>241</v>
      </c>
      <c r="D20" s="100" t="s">
        <v>291</v>
      </c>
      <c r="E20" s="100" t="s">
        <v>291</v>
      </c>
      <c r="F20" s="101" t="s">
        <v>285</v>
      </c>
      <c r="G20" s="100" t="s">
        <v>291</v>
      </c>
      <c r="H20" s="100" t="s">
        <v>291</v>
      </c>
      <c r="I20" s="100" t="s">
        <v>291</v>
      </c>
      <c r="J20" s="102" t="s">
        <v>291</v>
      </c>
      <c r="K20" s="102" t="s">
        <v>291</v>
      </c>
      <c r="L20" s="102" t="s">
        <v>291</v>
      </c>
      <c r="M20" s="103" t="s">
        <v>285</v>
      </c>
      <c r="N20" s="23" t="s">
        <v>291</v>
      </c>
      <c r="O20" s="24" t="s">
        <v>291</v>
      </c>
      <c r="P20" s="24" t="s">
        <v>291</v>
      </c>
      <c r="Q20" s="24" t="s">
        <v>291</v>
      </c>
      <c r="R20" s="24" t="s">
        <v>291</v>
      </c>
      <c r="S20" s="24" t="s">
        <v>291</v>
      </c>
      <c r="T20" s="25" t="s">
        <v>291</v>
      </c>
      <c r="U20" s="25" t="s">
        <v>291</v>
      </c>
      <c r="V20" s="42" t="s">
        <v>291</v>
      </c>
      <c r="W20" s="26" t="s">
        <v>291</v>
      </c>
      <c r="X20" s="26" t="s">
        <v>291</v>
      </c>
      <c r="Y20" s="26" t="s">
        <v>291</v>
      </c>
      <c r="Z20" s="26" t="s">
        <v>291</v>
      </c>
      <c r="AA20" s="26" t="s">
        <v>291</v>
      </c>
      <c r="AB20" s="26" t="s">
        <v>291</v>
      </c>
      <c r="AC20" s="26" t="s">
        <v>291</v>
      </c>
      <c r="AD20" s="26" t="s">
        <v>291</v>
      </c>
      <c r="AE20" s="26" t="s">
        <v>291</v>
      </c>
      <c r="AF20" s="26" t="s">
        <v>291</v>
      </c>
      <c r="AG20" s="26" t="s">
        <v>291</v>
      </c>
      <c r="AH20" s="26" t="s">
        <v>291</v>
      </c>
      <c r="AI20" s="29" t="s">
        <v>285</v>
      </c>
      <c r="AJ20" s="26" t="s">
        <v>291</v>
      </c>
      <c r="AK20" s="27" t="s">
        <v>291</v>
      </c>
      <c r="AL20" s="27" t="s">
        <v>291</v>
      </c>
      <c r="AM20" s="27" t="s">
        <v>291</v>
      </c>
      <c r="AN20" s="27" t="s">
        <v>291</v>
      </c>
      <c r="AO20" s="27" t="s">
        <v>291</v>
      </c>
      <c r="AP20" s="27" t="s">
        <v>291</v>
      </c>
      <c r="AQ20" s="27" t="s">
        <v>291</v>
      </c>
      <c r="AR20" s="27" t="s">
        <v>291</v>
      </c>
      <c r="AS20" s="45" t="s">
        <v>285</v>
      </c>
      <c r="AT20" s="27" t="s">
        <v>291</v>
      </c>
      <c r="AU20" s="45" t="s">
        <v>285</v>
      </c>
      <c r="AV20" s="27" t="s">
        <v>291</v>
      </c>
      <c r="AW20" s="27" t="s">
        <v>291</v>
      </c>
      <c r="AX20" s="26" t="s">
        <v>291</v>
      </c>
      <c r="AY20" s="26" t="s">
        <v>291</v>
      </c>
      <c r="AZ20" s="27" t="s">
        <v>291</v>
      </c>
      <c r="BA20" s="26" t="s">
        <v>291</v>
      </c>
      <c r="BB20" s="26" t="s">
        <v>291</v>
      </c>
      <c r="BC20" s="31">
        <v>5</v>
      </c>
      <c r="BD20" s="20">
        <v>0</v>
      </c>
      <c r="BG20" s="130">
        <v>18</v>
      </c>
      <c r="BH20" s="131" t="s">
        <v>63</v>
      </c>
      <c r="BI20" s="131" t="s">
        <v>241</v>
      </c>
      <c r="BJ20" s="132">
        <v>10</v>
      </c>
      <c r="BK20" s="133">
        <v>10</v>
      </c>
      <c r="BL20" s="132">
        <v>10</v>
      </c>
      <c r="BM20" s="132">
        <v>10</v>
      </c>
      <c r="BN20" s="134"/>
      <c r="BO20" s="134"/>
      <c r="BP20">
        <f t="shared" si="0"/>
        <v>20</v>
      </c>
    </row>
    <row r="21" spans="1:68" ht="15.5" x14ac:dyDescent="0.35">
      <c r="A21" t="s">
        <v>242</v>
      </c>
      <c r="B21" s="98" t="s">
        <v>242</v>
      </c>
      <c r="C21" s="99" t="s">
        <v>243</v>
      </c>
      <c r="D21" s="100" t="s">
        <v>291</v>
      </c>
      <c r="E21" s="100" t="s">
        <v>291</v>
      </c>
      <c r="F21" s="100" t="s">
        <v>291</v>
      </c>
      <c r="G21" s="100" t="s">
        <v>291</v>
      </c>
      <c r="H21" s="100" t="s">
        <v>291</v>
      </c>
      <c r="I21" s="100" t="s">
        <v>291</v>
      </c>
      <c r="J21" s="102" t="s">
        <v>291</v>
      </c>
      <c r="K21" s="102" t="s">
        <v>291</v>
      </c>
      <c r="L21" s="102" t="s">
        <v>291</v>
      </c>
      <c r="M21" s="102" t="s">
        <v>291</v>
      </c>
      <c r="N21" s="23" t="s">
        <v>291</v>
      </c>
      <c r="O21" s="24" t="s">
        <v>291</v>
      </c>
      <c r="P21" s="24" t="s">
        <v>291</v>
      </c>
      <c r="Q21" s="24" t="s">
        <v>291</v>
      </c>
      <c r="R21" s="24" t="s">
        <v>291</v>
      </c>
      <c r="S21" s="24" t="s">
        <v>291</v>
      </c>
      <c r="T21" s="25" t="s">
        <v>291</v>
      </c>
      <c r="U21" s="25" t="s">
        <v>291</v>
      </c>
      <c r="V21" s="42" t="s">
        <v>291</v>
      </c>
      <c r="W21" s="26" t="s">
        <v>291</v>
      </c>
      <c r="X21" s="26" t="s">
        <v>291</v>
      </c>
      <c r="Y21" s="26" t="s">
        <v>291</v>
      </c>
      <c r="Z21" s="26" t="s">
        <v>291</v>
      </c>
      <c r="AA21" s="26" t="s">
        <v>291</v>
      </c>
      <c r="AB21" s="26" t="s">
        <v>291</v>
      </c>
      <c r="AC21" s="26" t="s">
        <v>291</v>
      </c>
      <c r="AD21" s="26" t="s">
        <v>291</v>
      </c>
      <c r="AE21" s="26" t="s">
        <v>291</v>
      </c>
      <c r="AF21" s="26" t="s">
        <v>291</v>
      </c>
      <c r="AG21" s="26" t="s">
        <v>291</v>
      </c>
      <c r="AH21" s="26" t="s">
        <v>291</v>
      </c>
      <c r="AI21" s="26" t="s">
        <v>291</v>
      </c>
      <c r="AJ21" s="26" t="s">
        <v>291</v>
      </c>
      <c r="AK21" s="27" t="s">
        <v>291</v>
      </c>
      <c r="AL21" s="27" t="s">
        <v>291</v>
      </c>
      <c r="AM21" s="27" t="s">
        <v>291</v>
      </c>
      <c r="AN21" s="27" t="s">
        <v>291</v>
      </c>
      <c r="AO21" s="27" t="s">
        <v>291</v>
      </c>
      <c r="AP21" s="27" t="s">
        <v>291</v>
      </c>
      <c r="AQ21" s="27" t="s">
        <v>291</v>
      </c>
      <c r="AR21" s="27" t="s">
        <v>291</v>
      </c>
      <c r="AS21" s="27" t="s">
        <v>291</v>
      </c>
      <c r="AT21" s="27" t="s">
        <v>291</v>
      </c>
      <c r="AU21" s="27" t="s">
        <v>291</v>
      </c>
      <c r="AV21" s="27" t="s">
        <v>291</v>
      </c>
      <c r="AW21" s="27" t="s">
        <v>291</v>
      </c>
      <c r="AX21" s="26" t="s">
        <v>291</v>
      </c>
      <c r="AY21" s="26" t="s">
        <v>291</v>
      </c>
      <c r="AZ21" s="27" t="s">
        <v>291</v>
      </c>
      <c r="BA21" s="26" t="s">
        <v>291</v>
      </c>
      <c r="BB21" s="26" t="s">
        <v>291</v>
      </c>
      <c r="BC21" s="20">
        <v>0</v>
      </c>
      <c r="BD21" s="20">
        <v>0</v>
      </c>
      <c r="BG21" s="130">
        <v>19</v>
      </c>
      <c r="BH21" s="131" t="s">
        <v>242</v>
      </c>
      <c r="BI21" s="131" t="s">
        <v>243</v>
      </c>
      <c r="BJ21" s="132">
        <v>10</v>
      </c>
      <c r="BK21" s="133">
        <v>10</v>
      </c>
      <c r="BL21" s="132">
        <v>10</v>
      </c>
      <c r="BM21" s="132">
        <v>10</v>
      </c>
      <c r="BN21" s="132">
        <v>10</v>
      </c>
      <c r="BO21" s="132">
        <v>10</v>
      </c>
      <c r="BP21" t="str">
        <f t="shared" si="0"/>
        <v/>
      </c>
    </row>
    <row r="22" spans="1:68" ht="15.5" x14ac:dyDescent="0.35">
      <c r="A22" t="s">
        <v>197</v>
      </c>
      <c r="B22" s="98" t="s">
        <v>197</v>
      </c>
      <c r="C22" s="99" t="s">
        <v>117</v>
      </c>
      <c r="D22" s="100" t="s">
        <v>291</v>
      </c>
      <c r="E22" s="100" t="s">
        <v>291</v>
      </c>
      <c r="F22" s="100" t="s">
        <v>291</v>
      </c>
      <c r="G22" s="100" t="s">
        <v>292</v>
      </c>
      <c r="H22" s="100" t="s">
        <v>291</v>
      </c>
      <c r="I22" s="100" t="s">
        <v>292</v>
      </c>
      <c r="J22" s="102" t="s">
        <v>291</v>
      </c>
      <c r="K22" s="103" t="s">
        <v>285</v>
      </c>
      <c r="L22" s="102" t="s">
        <v>291</v>
      </c>
      <c r="M22" s="102" t="s">
        <v>291</v>
      </c>
      <c r="N22" s="23" t="s">
        <v>292</v>
      </c>
      <c r="O22" s="38" t="s">
        <v>285</v>
      </c>
      <c r="P22" s="24" t="s">
        <v>292</v>
      </c>
      <c r="Q22" s="24" t="s">
        <v>292</v>
      </c>
      <c r="R22" s="24" t="s">
        <v>292</v>
      </c>
      <c r="S22" s="24" t="s">
        <v>291</v>
      </c>
      <c r="T22" s="25" t="s">
        <v>291</v>
      </c>
      <c r="U22" s="25" t="s">
        <v>291</v>
      </c>
      <c r="V22" s="42" t="s">
        <v>291</v>
      </c>
      <c r="W22" s="26" t="s">
        <v>291</v>
      </c>
      <c r="X22" s="26" t="s">
        <v>291</v>
      </c>
      <c r="Y22" s="26" t="s">
        <v>291</v>
      </c>
      <c r="Z22" s="29" t="s">
        <v>285</v>
      </c>
      <c r="AA22" s="29" t="s">
        <v>285</v>
      </c>
      <c r="AB22" s="26" t="s">
        <v>291</v>
      </c>
      <c r="AC22" s="29" t="s">
        <v>285</v>
      </c>
      <c r="AD22" s="26" t="s">
        <v>291</v>
      </c>
      <c r="AE22" s="26" t="s">
        <v>291</v>
      </c>
      <c r="AF22" s="26" t="s">
        <v>292</v>
      </c>
      <c r="AG22" s="26" t="s">
        <v>291</v>
      </c>
      <c r="AH22" s="26" t="s">
        <v>291</v>
      </c>
      <c r="AI22" s="29" t="s">
        <v>285</v>
      </c>
      <c r="AJ22" s="26" t="s">
        <v>292</v>
      </c>
      <c r="AK22" s="27" t="s">
        <v>291</v>
      </c>
      <c r="AL22" s="27" t="s">
        <v>291</v>
      </c>
      <c r="AM22" s="27" t="s">
        <v>291</v>
      </c>
      <c r="AN22" s="45" t="s">
        <v>285</v>
      </c>
      <c r="AO22" s="27" t="s">
        <v>291</v>
      </c>
      <c r="AP22" s="27" t="s">
        <v>291</v>
      </c>
      <c r="AQ22" s="27" t="s">
        <v>291</v>
      </c>
      <c r="AR22" s="27" t="s">
        <v>292</v>
      </c>
      <c r="AS22" s="27" t="s">
        <v>291</v>
      </c>
      <c r="AT22" s="27" t="s">
        <v>291</v>
      </c>
      <c r="AU22" s="27" t="s">
        <v>291</v>
      </c>
      <c r="AV22" s="27" t="s">
        <v>291</v>
      </c>
      <c r="AW22" s="27" t="s">
        <v>291</v>
      </c>
      <c r="AX22" s="26" t="s">
        <v>291</v>
      </c>
      <c r="AY22" s="26" t="s">
        <v>292</v>
      </c>
      <c r="AZ22" s="27" t="s">
        <v>291</v>
      </c>
      <c r="BA22" s="26" t="s">
        <v>291</v>
      </c>
      <c r="BB22" s="26" t="s">
        <v>291</v>
      </c>
      <c r="BC22" s="31">
        <v>8</v>
      </c>
      <c r="BD22" s="31">
        <v>10</v>
      </c>
      <c r="BG22" s="130">
        <v>21</v>
      </c>
      <c r="BH22" s="131" t="s">
        <v>197</v>
      </c>
      <c r="BI22" s="131" t="s">
        <v>423</v>
      </c>
      <c r="BJ22" s="132">
        <v>10</v>
      </c>
      <c r="BK22" s="133">
        <v>10</v>
      </c>
      <c r="BL22" s="132">
        <v>10</v>
      </c>
      <c r="BM22" s="132">
        <v>10</v>
      </c>
      <c r="BN22" s="134"/>
      <c r="BO22" s="134"/>
      <c r="BP22">
        <f t="shared" si="0"/>
        <v>20</v>
      </c>
    </row>
    <row r="23" spans="1:68" ht="15.5" x14ac:dyDescent="0.35">
      <c r="A23" t="s">
        <v>32</v>
      </c>
      <c r="B23" s="98" t="s">
        <v>32</v>
      </c>
      <c r="C23" s="99" t="s">
        <v>244</v>
      </c>
      <c r="D23" s="100" t="s">
        <v>291</v>
      </c>
      <c r="E23" s="100" t="s">
        <v>291</v>
      </c>
      <c r="F23" s="100" t="s">
        <v>291</v>
      </c>
      <c r="G23" s="100" t="s">
        <v>291</v>
      </c>
      <c r="H23" s="100" t="s">
        <v>291</v>
      </c>
      <c r="I23" s="100" t="s">
        <v>291</v>
      </c>
      <c r="J23" s="105" t="s">
        <v>291</v>
      </c>
      <c r="K23" s="102" t="s">
        <v>291</v>
      </c>
      <c r="L23" s="105" t="s">
        <v>291</v>
      </c>
      <c r="M23" s="105" t="s">
        <v>291</v>
      </c>
      <c r="N23" s="23" t="s">
        <v>291</v>
      </c>
      <c r="O23" s="24" t="s">
        <v>291</v>
      </c>
      <c r="P23" s="24" t="s">
        <v>291</v>
      </c>
      <c r="Q23" s="24" t="s">
        <v>291</v>
      </c>
      <c r="R23" s="24" t="s">
        <v>291</v>
      </c>
      <c r="S23" s="24" t="s">
        <v>291</v>
      </c>
      <c r="T23" s="25" t="s">
        <v>291</v>
      </c>
      <c r="U23" s="25" t="s">
        <v>291</v>
      </c>
      <c r="V23" s="42" t="s">
        <v>291</v>
      </c>
      <c r="W23" s="26" t="s">
        <v>291</v>
      </c>
      <c r="X23" s="26" t="s">
        <v>291</v>
      </c>
      <c r="Y23" s="26" t="s">
        <v>291</v>
      </c>
      <c r="Z23" s="26" t="s">
        <v>291</v>
      </c>
      <c r="AA23" s="26" t="s">
        <v>291</v>
      </c>
      <c r="AB23" s="26" t="s">
        <v>291</v>
      </c>
      <c r="AC23" s="26" t="s">
        <v>291</v>
      </c>
      <c r="AD23" s="26" t="s">
        <v>291</v>
      </c>
      <c r="AE23" s="26" t="s">
        <v>291</v>
      </c>
      <c r="AF23" s="26" t="s">
        <v>291</v>
      </c>
      <c r="AG23" s="26" t="s">
        <v>291</v>
      </c>
      <c r="AH23" s="26" t="s">
        <v>291</v>
      </c>
      <c r="AI23" s="26" t="s">
        <v>291</v>
      </c>
      <c r="AJ23" s="26" t="s">
        <v>291</v>
      </c>
      <c r="AK23" s="27" t="s">
        <v>291</v>
      </c>
      <c r="AL23" s="27" t="s">
        <v>291</v>
      </c>
      <c r="AM23" s="27" t="s">
        <v>291</v>
      </c>
      <c r="AN23" s="27" t="s">
        <v>291</v>
      </c>
      <c r="AO23" s="27" t="s">
        <v>291</v>
      </c>
      <c r="AP23" s="27" t="s">
        <v>291</v>
      </c>
      <c r="AQ23" s="27" t="s">
        <v>291</v>
      </c>
      <c r="AR23" s="27" t="s">
        <v>291</v>
      </c>
      <c r="AS23" s="27" t="s">
        <v>291</v>
      </c>
      <c r="AT23" s="27" t="s">
        <v>291</v>
      </c>
      <c r="AU23" s="27" t="s">
        <v>291</v>
      </c>
      <c r="AV23" s="27" t="s">
        <v>291</v>
      </c>
      <c r="AW23" s="27" t="s">
        <v>291</v>
      </c>
      <c r="AX23" s="26" t="s">
        <v>291</v>
      </c>
      <c r="AY23" s="26" t="s">
        <v>291</v>
      </c>
      <c r="AZ23" s="27" t="s">
        <v>291</v>
      </c>
      <c r="BA23" s="26" t="s">
        <v>291</v>
      </c>
      <c r="BB23" s="26" t="s">
        <v>291</v>
      </c>
      <c r="BC23" s="20">
        <v>0</v>
      </c>
      <c r="BD23" s="20">
        <v>0</v>
      </c>
      <c r="BG23" s="130">
        <v>22</v>
      </c>
      <c r="BH23" s="131" t="s">
        <v>32</v>
      </c>
      <c r="BI23" s="131" t="s">
        <v>244</v>
      </c>
      <c r="BJ23" s="132">
        <v>10</v>
      </c>
      <c r="BK23" s="133">
        <v>10</v>
      </c>
      <c r="BL23" s="132">
        <v>10</v>
      </c>
      <c r="BM23" s="132">
        <v>10</v>
      </c>
      <c r="BN23" s="132">
        <v>10</v>
      </c>
      <c r="BO23" s="132">
        <v>10</v>
      </c>
      <c r="BP23" t="str">
        <f t="shared" si="0"/>
        <v/>
      </c>
    </row>
    <row r="24" spans="1:68" ht="15.5" x14ac:dyDescent="0.35">
      <c r="A24" t="s">
        <v>245</v>
      </c>
      <c r="B24" s="98" t="s">
        <v>245</v>
      </c>
      <c r="C24" s="99" t="s">
        <v>53</v>
      </c>
      <c r="D24" s="100" t="s">
        <v>291</v>
      </c>
      <c r="E24" s="100" t="s">
        <v>291</v>
      </c>
      <c r="F24" s="100" t="s">
        <v>291</v>
      </c>
      <c r="G24" s="100" t="s">
        <v>291</v>
      </c>
      <c r="H24" s="100" t="s">
        <v>291</v>
      </c>
      <c r="I24" s="100" t="s">
        <v>291</v>
      </c>
      <c r="J24" s="15" t="s">
        <v>291</v>
      </c>
      <c r="K24" s="102" t="s">
        <v>291</v>
      </c>
      <c r="L24" s="15" t="s">
        <v>291</v>
      </c>
      <c r="M24" s="15" t="s">
        <v>291</v>
      </c>
      <c r="N24" s="23" t="s">
        <v>291</v>
      </c>
      <c r="O24" s="24" t="s">
        <v>291</v>
      </c>
      <c r="P24" s="24" t="s">
        <v>291</v>
      </c>
      <c r="Q24" s="24" t="s">
        <v>291</v>
      </c>
      <c r="R24" s="24" t="s">
        <v>291</v>
      </c>
      <c r="S24" s="24" t="s">
        <v>291</v>
      </c>
      <c r="T24" s="25" t="s">
        <v>291</v>
      </c>
      <c r="U24" s="25" t="s">
        <v>291</v>
      </c>
      <c r="V24" s="42" t="s">
        <v>291</v>
      </c>
      <c r="W24" s="26" t="s">
        <v>291</v>
      </c>
      <c r="X24" s="26" t="s">
        <v>291</v>
      </c>
      <c r="Y24" s="26" t="s">
        <v>291</v>
      </c>
      <c r="Z24" s="26" t="s">
        <v>291</v>
      </c>
      <c r="AA24" s="26" t="s">
        <v>291</v>
      </c>
      <c r="AB24" s="26" t="s">
        <v>291</v>
      </c>
      <c r="AC24" s="26" t="s">
        <v>291</v>
      </c>
      <c r="AD24" s="26" t="s">
        <v>291</v>
      </c>
      <c r="AE24" s="26" t="s">
        <v>291</v>
      </c>
      <c r="AF24" s="26" t="s">
        <v>291</v>
      </c>
      <c r="AG24" s="26" t="s">
        <v>291</v>
      </c>
      <c r="AH24" s="26" t="s">
        <v>291</v>
      </c>
      <c r="AI24" s="26" t="s">
        <v>291</v>
      </c>
      <c r="AJ24" s="26" t="s">
        <v>291</v>
      </c>
      <c r="AK24" s="27" t="s">
        <v>291</v>
      </c>
      <c r="AL24" s="27" t="s">
        <v>291</v>
      </c>
      <c r="AM24" s="27" t="s">
        <v>291</v>
      </c>
      <c r="AN24" s="27" t="s">
        <v>291</v>
      </c>
      <c r="AO24" s="27" t="s">
        <v>291</v>
      </c>
      <c r="AP24" s="27" t="s">
        <v>291</v>
      </c>
      <c r="AQ24" s="27" t="s">
        <v>291</v>
      </c>
      <c r="AR24" s="27" t="s">
        <v>291</v>
      </c>
      <c r="AS24" s="27" t="s">
        <v>291</v>
      </c>
      <c r="AT24" s="27" t="s">
        <v>291</v>
      </c>
      <c r="AU24" s="27" t="s">
        <v>291</v>
      </c>
      <c r="AV24" s="27" t="s">
        <v>291</v>
      </c>
      <c r="AW24" s="27" t="s">
        <v>291</v>
      </c>
      <c r="AX24" s="26" t="s">
        <v>291</v>
      </c>
      <c r="AY24" s="26" t="s">
        <v>291</v>
      </c>
      <c r="AZ24" s="27" t="s">
        <v>291</v>
      </c>
      <c r="BA24" s="26" t="s">
        <v>291</v>
      </c>
      <c r="BB24" s="26" t="s">
        <v>291</v>
      </c>
      <c r="BC24" s="20">
        <v>0</v>
      </c>
      <c r="BD24" s="20">
        <v>0</v>
      </c>
      <c r="BG24" s="130">
        <v>23</v>
      </c>
      <c r="BH24" s="131" t="s">
        <v>245</v>
      </c>
      <c r="BI24" s="131" t="s">
        <v>53</v>
      </c>
      <c r="BJ24" s="132">
        <v>10</v>
      </c>
      <c r="BK24" s="133">
        <v>10</v>
      </c>
      <c r="BL24" s="132">
        <v>10</v>
      </c>
      <c r="BM24" s="132">
        <v>10</v>
      </c>
      <c r="BN24" s="134"/>
      <c r="BO24" s="134"/>
      <c r="BP24">
        <f t="shared" si="0"/>
        <v>20</v>
      </c>
    </row>
    <row r="25" spans="1:68" ht="15.5" x14ac:dyDescent="0.35">
      <c r="A25" t="s">
        <v>246</v>
      </c>
      <c r="B25" s="98" t="s">
        <v>246</v>
      </c>
      <c r="C25" s="99" t="s">
        <v>53</v>
      </c>
      <c r="D25" s="100" t="s">
        <v>291</v>
      </c>
      <c r="E25" s="100" t="s">
        <v>291</v>
      </c>
      <c r="F25" s="100" t="s">
        <v>291</v>
      </c>
      <c r="G25" s="100" t="s">
        <v>291</v>
      </c>
      <c r="H25" s="100" t="s">
        <v>291</v>
      </c>
      <c r="I25" s="100" t="s">
        <v>291</v>
      </c>
      <c r="J25" s="15" t="s">
        <v>291</v>
      </c>
      <c r="K25" s="102" t="s">
        <v>291</v>
      </c>
      <c r="L25" s="15" t="s">
        <v>291</v>
      </c>
      <c r="M25" s="15" t="s">
        <v>291</v>
      </c>
      <c r="N25" s="23" t="s">
        <v>291</v>
      </c>
      <c r="O25" s="24" t="s">
        <v>291</v>
      </c>
      <c r="P25" s="24" t="s">
        <v>291</v>
      </c>
      <c r="Q25" s="24" t="s">
        <v>291</v>
      </c>
      <c r="R25" s="24" t="s">
        <v>291</v>
      </c>
      <c r="S25" s="24" t="s">
        <v>291</v>
      </c>
      <c r="T25" s="25" t="s">
        <v>291</v>
      </c>
      <c r="U25" s="60" t="s">
        <v>285</v>
      </c>
      <c r="V25" s="42" t="s">
        <v>291</v>
      </c>
      <c r="W25" s="26" t="s">
        <v>291</v>
      </c>
      <c r="X25" s="26" t="s">
        <v>291</v>
      </c>
      <c r="Y25" s="26" t="s">
        <v>291</v>
      </c>
      <c r="Z25" s="26" t="s">
        <v>291</v>
      </c>
      <c r="AA25" s="26" t="s">
        <v>291</v>
      </c>
      <c r="AB25" s="26" t="s">
        <v>291</v>
      </c>
      <c r="AC25" s="26" t="s">
        <v>291</v>
      </c>
      <c r="AD25" s="26" t="s">
        <v>291</v>
      </c>
      <c r="AE25" s="26" t="s">
        <v>291</v>
      </c>
      <c r="AF25" s="26" t="s">
        <v>291</v>
      </c>
      <c r="AG25" s="26" t="s">
        <v>291</v>
      </c>
      <c r="AH25" s="29" t="s">
        <v>285</v>
      </c>
      <c r="AI25" s="26" t="s">
        <v>291</v>
      </c>
      <c r="AJ25" s="26" t="s">
        <v>291</v>
      </c>
      <c r="AK25" s="27" t="s">
        <v>291</v>
      </c>
      <c r="AL25" s="27" t="s">
        <v>291</v>
      </c>
      <c r="AM25" s="27" t="s">
        <v>291</v>
      </c>
      <c r="AN25" s="27" t="s">
        <v>291</v>
      </c>
      <c r="AO25" s="27" t="s">
        <v>291</v>
      </c>
      <c r="AP25" s="27" t="s">
        <v>291</v>
      </c>
      <c r="AQ25" s="27" t="s">
        <v>291</v>
      </c>
      <c r="AR25" s="27" t="s">
        <v>291</v>
      </c>
      <c r="AS25" s="27" t="s">
        <v>291</v>
      </c>
      <c r="AT25" s="27" t="s">
        <v>291</v>
      </c>
      <c r="AU25" s="27" t="s">
        <v>291</v>
      </c>
      <c r="AV25" s="27" t="s">
        <v>291</v>
      </c>
      <c r="AW25" s="27" t="s">
        <v>291</v>
      </c>
      <c r="AX25" s="26" t="s">
        <v>291</v>
      </c>
      <c r="AY25" s="26" t="s">
        <v>291</v>
      </c>
      <c r="AZ25" s="27" t="s">
        <v>291</v>
      </c>
      <c r="BA25" s="26" t="s">
        <v>291</v>
      </c>
      <c r="BB25" s="26" t="s">
        <v>291</v>
      </c>
      <c r="BC25" s="20">
        <v>2</v>
      </c>
      <c r="BD25" s="20">
        <v>0</v>
      </c>
      <c r="BG25" s="130">
        <v>24</v>
      </c>
      <c r="BH25" s="131" t="s">
        <v>246</v>
      </c>
      <c r="BI25" s="131" t="s">
        <v>53</v>
      </c>
      <c r="BJ25" s="132">
        <v>10</v>
      </c>
      <c r="BK25" s="133">
        <v>10</v>
      </c>
      <c r="BL25" s="132">
        <v>10</v>
      </c>
      <c r="BM25" s="132">
        <v>10</v>
      </c>
      <c r="BN25" s="134"/>
      <c r="BO25" s="134"/>
      <c r="BP25">
        <f t="shared" si="0"/>
        <v>20</v>
      </c>
    </row>
    <row r="26" spans="1:68" ht="15.5" x14ac:dyDescent="0.35">
      <c r="A26" t="s">
        <v>247</v>
      </c>
      <c r="B26" s="98" t="s">
        <v>247</v>
      </c>
      <c r="C26" s="99" t="s">
        <v>57</v>
      </c>
      <c r="D26" s="100" t="s">
        <v>291</v>
      </c>
      <c r="E26" s="100" t="s">
        <v>291</v>
      </c>
      <c r="F26" s="100" t="s">
        <v>291</v>
      </c>
      <c r="G26" s="101" t="s">
        <v>285</v>
      </c>
      <c r="H26" s="100" t="s">
        <v>291</v>
      </c>
      <c r="I26" s="100" t="s">
        <v>292</v>
      </c>
      <c r="J26" s="102" t="s">
        <v>291</v>
      </c>
      <c r="K26" s="102" t="s">
        <v>291</v>
      </c>
      <c r="L26" s="102" t="s">
        <v>291</v>
      </c>
      <c r="M26" s="102" t="s">
        <v>291</v>
      </c>
      <c r="N26" s="23" t="s">
        <v>291</v>
      </c>
      <c r="O26" s="24" t="s">
        <v>291</v>
      </c>
      <c r="P26" s="24" t="s">
        <v>291</v>
      </c>
      <c r="Q26" s="24" t="s">
        <v>291</v>
      </c>
      <c r="R26" s="24" t="s">
        <v>291</v>
      </c>
      <c r="S26" s="24" t="s">
        <v>291</v>
      </c>
      <c r="T26" s="25" t="s">
        <v>291</v>
      </c>
      <c r="U26" s="25" t="s">
        <v>291</v>
      </c>
      <c r="V26" s="42" t="s">
        <v>291</v>
      </c>
      <c r="W26" s="29" t="s">
        <v>285</v>
      </c>
      <c r="X26" s="26" t="s">
        <v>291</v>
      </c>
      <c r="Y26" s="26" t="s">
        <v>291</v>
      </c>
      <c r="Z26" s="26" t="s">
        <v>291</v>
      </c>
      <c r="AA26" s="26" t="s">
        <v>291</v>
      </c>
      <c r="AB26" s="26" t="s">
        <v>291</v>
      </c>
      <c r="AC26" s="26" t="s">
        <v>291</v>
      </c>
      <c r="AD26" s="26" t="s">
        <v>291</v>
      </c>
      <c r="AE26" s="26" t="s">
        <v>291</v>
      </c>
      <c r="AF26" s="26" t="s">
        <v>291</v>
      </c>
      <c r="AG26" s="26" t="s">
        <v>291</v>
      </c>
      <c r="AH26" s="26" t="s">
        <v>291</v>
      </c>
      <c r="AI26" s="26" t="s">
        <v>291</v>
      </c>
      <c r="AJ26" s="29" t="s">
        <v>285</v>
      </c>
      <c r="AK26" s="27" t="s">
        <v>291</v>
      </c>
      <c r="AL26" s="27" t="s">
        <v>291</v>
      </c>
      <c r="AM26" s="27" t="s">
        <v>291</v>
      </c>
      <c r="AN26" s="27" t="s">
        <v>291</v>
      </c>
      <c r="AO26" s="27" t="s">
        <v>291</v>
      </c>
      <c r="AP26" s="27" t="s">
        <v>291</v>
      </c>
      <c r="AQ26" s="27" t="s">
        <v>292</v>
      </c>
      <c r="AR26" s="27" t="s">
        <v>291</v>
      </c>
      <c r="AS26" s="27" t="s">
        <v>291</v>
      </c>
      <c r="AT26" s="45" t="s">
        <v>285</v>
      </c>
      <c r="AU26" s="27" t="s">
        <v>291</v>
      </c>
      <c r="AV26" s="27" t="s">
        <v>291</v>
      </c>
      <c r="AW26" s="27" t="s">
        <v>292</v>
      </c>
      <c r="AX26" s="26" t="s">
        <v>292</v>
      </c>
      <c r="AY26" s="26" t="s">
        <v>291</v>
      </c>
      <c r="AZ26" s="27" t="s">
        <v>292</v>
      </c>
      <c r="BA26" s="26" t="s">
        <v>292</v>
      </c>
      <c r="BB26" s="29" t="s">
        <v>285</v>
      </c>
      <c r="BC26" s="31">
        <v>6</v>
      </c>
      <c r="BD26" s="31">
        <v>6</v>
      </c>
      <c r="BG26" s="130">
        <v>25</v>
      </c>
      <c r="BH26" s="131" t="s">
        <v>247</v>
      </c>
      <c r="BI26" s="131" t="s">
        <v>57</v>
      </c>
      <c r="BJ26" s="132">
        <v>10</v>
      </c>
      <c r="BK26" s="133">
        <v>10</v>
      </c>
      <c r="BL26" s="132">
        <v>10</v>
      </c>
      <c r="BM26" s="132">
        <v>10</v>
      </c>
      <c r="BN26" s="134"/>
      <c r="BO26" s="134"/>
      <c r="BP26">
        <f t="shared" si="0"/>
        <v>20</v>
      </c>
    </row>
    <row r="27" spans="1:68" ht="15.5" x14ac:dyDescent="0.35">
      <c r="A27" t="s">
        <v>184</v>
      </c>
      <c r="B27" s="98" t="s">
        <v>184</v>
      </c>
      <c r="C27" s="99" t="s">
        <v>163</v>
      </c>
      <c r="D27" s="100" t="s">
        <v>291</v>
      </c>
      <c r="E27" s="100" t="s">
        <v>291</v>
      </c>
      <c r="F27" s="100" t="s">
        <v>291</v>
      </c>
      <c r="G27" s="100" t="s">
        <v>291</v>
      </c>
      <c r="H27" s="100" t="s">
        <v>291</v>
      </c>
      <c r="I27" s="100" t="s">
        <v>291</v>
      </c>
      <c r="J27" s="102" t="s">
        <v>291</v>
      </c>
      <c r="K27" s="102" t="s">
        <v>291</v>
      </c>
      <c r="L27" s="102" t="s">
        <v>291</v>
      </c>
      <c r="M27" s="16" t="s">
        <v>291</v>
      </c>
      <c r="N27" s="23" t="s">
        <v>291</v>
      </c>
      <c r="O27" s="71" t="s">
        <v>291</v>
      </c>
      <c r="P27" s="71" t="s">
        <v>291</v>
      </c>
      <c r="Q27" s="71" t="s">
        <v>291</v>
      </c>
      <c r="R27" s="24" t="s">
        <v>291</v>
      </c>
      <c r="S27" s="24" t="s">
        <v>291</v>
      </c>
      <c r="T27" s="72" t="s">
        <v>291</v>
      </c>
      <c r="U27" s="25" t="s">
        <v>291</v>
      </c>
      <c r="V27" s="42" t="s">
        <v>291</v>
      </c>
      <c r="W27" s="26" t="s">
        <v>291</v>
      </c>
      <c r="X27" s="26" t="s">
        <v>291</v>
      </c>
      <c r="Y27" s="26" t="s">
        <v>291</v>
      </c>
      <c r="Z27" s="26" t="s">
        <v>291</v>
      </c>
      <c r="AA27" s="26" t="s">
        <v>291</v>
      </c>
      <c r="AB27" s="26" t="s">
        <v>291</v>
      </c>
      <c r="AC27" s="26" t="s">
        <v>291</v>
      </c>
      <c r="AD27" s="29" t="s">
        <v>285</v>
      </c>
      <c r="AE27" s="26" t="s">
        <v>291</v>
      </c>
      <c r="AF27" s="62" t="s">
        <v>291</v>
      </c>
      <c r="AG27" s="62" t="s">
        <v>291</v>
      </c>
      <c r="AH27" s="26" t="s">
        <v>291</v>
      </c>
      <c r="AI27" s="62" t="s">
        <v>291</v>
      </c>
      <c r="AJ27" s="62" t="s">
        <v>291</v>
      </c>
      <c r="AK27" s="66" t="s">
        <v>291</v>
      </c>
      <c r="AL27" s="27" t="s">
        <v>291</v>
      </c>
      <c r="AM27" s="27" t="s">
        <v>291</v>
      </c>
      <c r="AN27" s="27" t="s">
        <v>291</v>
      </c>
      <c r="AO27" s="27" t="s">
        <v>291</v>
      </c>
      <c r="AP27" s="45" t="s">
        <v>285</v>
      </c>
      <c r="AQ27" s="66" t="s">
        <v>291</v>
      </c>
      <c r="AR27" s="27" t="s">
        <v>291</v>
      </c>
      <c r="AS27" s="66" t="s">
        <v>291</v>
      </c>
      <c r="AT27" s="66" t="s">
        <v>291</v>
      </c>
      <c r="AU27" s="66" t="s">
        <v>291</v>
      </c>
      <c r="AV27" s="27" t="s">
        <v>291</v>
      </c>
      <c r="AW27" s="27" t="s">
        <v>291</v>
      </c>
      <c r="AX27" s="62" t="s">
        <v>291</v>
      </c>
      <c r="AY27" s="62" t="s">
        <v>291</v>
      </c>
      <c r="AZ27" s="27" t="s">
        <v>291</v>
      </c>
      <c r="BA27" s="26" t="s">
        <v>291</v>
      </c>
      <c r="BB27" s="26" t="s">
        <v>291</v>
      </c>
      <c r="BC27" s="20">
        <v>3</v>
      </c>
      <c r="BD27" s="20">
        <v>0</v>
      </c>
      <c r="BG27" s="130">
        <v>26</v>
      </c>
      <c r="BH27" s="131" t="s">
        <v>184</v>
      </c>
      <c r="BI27" s="131" t="s">
        <v>163</v>
      </c>
      <c r="BJ27" s="132">
        <v>10</v>
      </c>
      <c r="BK27" s="133">
        <v>10</v>
      </c>
      <c r="BL27" s="132">
        <v>10</v>
      </c>
      <c r="BM27" s="132">
        <v>10</v>
      </c>
      <c r="BN27" s="134"/>
      <c r="BO27" s="134"/>
      <c r="BP27">
        <f t="shared" si="0"/>
        <v>20</v>
      </c>
    </row>
    <row r="28" spans="1:68" ht="15.5" x14ac:dyDescent="0.35">
      <c r="A28" t="s">
        <v>248</v>
      </c>
      <c r="B28" s="98" t="s">
        <v>248</v>
      </c>
      <c r="C28" s="99" t="s">
        <v>163</v>
      </c>
      <c r="D28" s="100" t="s">
        <v>291</v>
      </c>
      <c r="E28" s="100" t="s">
        <v>291</v>
      </c>
      <c r="F28" s="100" t="s">
        <v>291</v>
      </c>
      <c r="G28" s="100" t="s">
        <v>291</v>
      </c>
      <c r="H28" s="100" t="s">
        <v>291</v>
      </c>
      <c r="I28" s="100" t="s">
        <v>291</v>
      </c>
      <c r="J28" s="102" t="s">
        <v>291</v>
      </c>
      <c r="K28" s="102" t="s">
        <v>291</v>
      </c>
      <c r="L28" s="102" t="s">
        <v>291</v>
      </c>
      <c r="M28" s="16" t="s">
        <v>291</v>
      </c>
      <c r="N28" s="23" t="s">
        <v>291</v>
      </c>
      <c r="O28" s="15" t="s">
        <v>291</v>
      </c>
      <c r="P28" s="15" t="s">
        <v>291</v>
      </c>
      <c r="Q28" s="15" t="s">
        <v>291</v>
      </c>
      <c r="R28" s="24" t="s">
        <v>291</v>
      </c>
      <c r="S28" s="24" t="s">
        <v>291</v>
      </c>
      <c r="T28" s="106" t="s">
        <v>291</v>
      </c>
      <c r="U28" s="25" t="s">
        <v>291</v>
      </c>
      <c r="V28" s="42" t="s">
        <v>291</v>
      </c>
      <c r="W28" s="26" t="s">
        <v>291</v>
      </c>
      <c r="X28" s="26" t="s">
        <v>291</v>
      </c>
      <c r="Y28" s="26" t="s">
        <v>291</v>
      </c>
      <c r="Z28" s="26" t="s">
        <v>291</v>
      </c>
      <c r="AA28" s="26" t="s">
        <v>291</v>
      </c>
      <c r="AB28" s="26" t="s">
        <v>291</v>
      </c>
      <c r="AC28" s="26" t="s">
        <v>291</v>
      </c>
      <c r="AD28" s="26" t="s">
        <v>291</v>
      </c>
      <c r="AE28" s="62" t="s">
        <v>291</v>
      </c>
      <c r="AF28" s="35" t="s">
        <v>291</v>
      </c>
      <c r="AG28" s="35" t="s">
        <v>291</v>
      </c>
      <c r="AH28" s="26" t="s">
        <v>291</v>
      </c>
      <c r="AI28" s="35" t="s">
        <v>291</v>
      </c>
      <c r="AJ28" s="35" t="s">
        <v>291</v>
      </c>
      <c r="AK28" s="66" t="s">
        <v>291</v>
      </c>
      <c r="AL28" s="27" t="s">
        <v>291</v>
      </c>
      <c r="AM28" s="27" t="s">
        <v>291</v>
      </c>
      <c r="AN28" s="27" t="s">
        <v>291</v>
      </c>
      <c r="AO28" s="27" t="s">
        <v>291</v>
      </c>
      <c r="AP28" s="27" t="s">
        <v>291</v>
      </c>
      <c r="AQ28" s="81" t="s">
        <v>291</v>
      </c>
      <c r="AR28" s="27" t="s">
        <v>291</v>
      </c>
      <c r="AS28" s="81" t="s">
        <v>291</v>
      </c>
      <c r="AT28" s="81" t="s">
        <v>291</v>
      </c>
      <c r="AU28" s="81" t="s">
        <v>291</v>
      </c>
      <c r="AV28" s="27" t="s">
        <v>291</v>
      </c>
      <c r="AW28" s="27" t="s">
        <v>291</v>
      </c>
      <c r="AX28" s="35" t="s">
        <v>291</v>
      </c>
      <c r="AY28" s="35" t="s">
        <v>291</v>
      </c>
      <c r="AZ28" s="27" t="s">
        <v>291</v>
      </c>
      <c r="BA28" s="26" t="s">
        <v>291</v>
      </c>
      <c r="BB28" s="26" t="s">
        <v>291</v>
      </c>
      <c r="BC28" s="20">
        <v>0</v>
      </c>
      <c r="BD28" s="20">
        <v>0</v>
      </c>
      <c r="BG28" s="130">
        <v>27</v>
      </c>
      <c r="BH28" s="131" t="s">
        <v>248</v>
      </c>
      <c r="BI28" s="131" t="s">
        <v>163</v>
      </c>
      <c r="BJ28" s="132">
        <v>10</v>
      </c>
      <c r="BK28" s="133">
        <v>10</v>
      </c>
      <c r="BL28" s="132">
        <v>10</v>
      </c>
      <c r="BM28" s="132">
        <v>10</v>
      </c>
      <c r="BN28" s="134"/>
      <c r="BO28" s="134"/>
      <c r="BP28">
        <f t="shared" si="0"/>
        <v>20</v>
      </c>
    </row>
    <row r="29" spans="1:68" ht="15.5" x14ac:dyDescent="0.35">
      <c r="A29" t="s">
        <v>54</v>
      </c>
      <c r="B29" s="98" t="s">
        <v>54</v>
      </c>
      <c r="C29" s="99" t="s">
        <v>125</v>
      </c>
      <c r="D29" s="100" t="s">
        <v>291</v>
      </c>
      <c r="E29" s="100" t="s">
        <v>291</v>
      </c>
      <c r="F29" s="100" t="s">
        <v>292</v>
      </c>
      <c r="G29" s="100" t="s">
        <v>291</v>
      </c>
      <c r="H29" s="100" t="s">
        <v>291</v>
      </c>
      <c r="I29" s="100" t="s">
        <v>292</v>
      </c>
      <c r="J29" s="102" t="s">
        <v>291</v>
      </c>
      <c r="K29" s="102" t="s">
        <v>291</v>
      </c>
      <c r="L29" s="102" t="s">
        <v>291</v>
      </c>
      <c r="M29" s="102" t="s">
        <v>291</v>
      </c>
      <c r="N29" s="15" t="s">
        <v>291</v>
      </c>
      <c r="O29" s="15" t="s">
        <v>291</v>
      </c>
      <c r="P29" s="15" t="s">
        <v>291</v>
      </c>
      <c r="Q29" s="15" t="s">
        <v>291</v>
      </c>
      <c r="R29" s="24" t="s">
        <v>291</v>
      </c>
      <c r="S29" s="24" t="s">
        <v>291</v>
      </c>
      <c r="T29" s="106" t="s">
        <v>291</v>
      </c>
      <c r="U29" s="25" t="s">
        <v>291</v>
      </c>
      <c r="V29" s="42" t="s">
        <v>291</v>
      </c>
      <c r="W29" s="26" t="s">
        <v>291</v>
      </c>
      <c r="X29" s="26" t="s">
        <v>291</v>
      </c>
      <c r="Y29" s="26" t="s">
        <v>291</v>
      </c>
      <c r="Z29" s="26" t="s">
        <v>291</v>
      </c>
      <c r="AA29" s="26" t="s">
        <v>291</v>
      </c>
      <c r="AB29" s="29" t="s">
        <v>285</v>
      </c>
      <c r="AC29" s="26" t="s">
        <v>291</v>
      </c>
      <c r="AD29" s="26" t="s">
        <v>291</v>
      </c>
      <c r="AE29" s="62" t="s">
        <v>291</v>
      </c>
      <c r="AF29" s="107" t="s">
        <v>285</v>
      </c>
      <c r="AG29" s="35" t="s">
        <v>291</v>
      </c>
      <c r="AH29" s="26" t="s">
        <v>291</v>
      </c>
      <c r="AI29" s="35" t="s">
        <v>291</v>
      </c>
      <c r="AJ29" s="35" t="s">
        <v>291</v>
      </c>
      <c r="AK29" s="66" t="s">
        <v>291</v>
      </c>
      <c r="AL29" s="27" t="s">
        <v>291</v>
      </c>
      <c r="AM29" s="27" t="s">
        <v>291</v>
      </c>
      <c r="AN29" s="27" t="s">
        <v>291</v>
      </c>
      <c r="AO29" s="27" t="s">
        <v>291</v>
      </c>
      <c r="AP29" s="27" t="s">
        <v>291</v>
      </c>
      <c r="AQ29" s="81" t="s">
        <v>291</v>
      </c>
      <c r="AR29" s="27" t="s">
        <v>291</v>
      </c>
      <c r="AS29" s="90" t="s">
        <v>285</v>
      </c>
      <c r="AT29" s="81" t="s">
        <v>291</v>
      </c>
      <c r="AU29" s="90" t="s">
        <v>285</v>
      </c>
      <c r="AV29" s="45" t="s">
        <v>285</v>
      </c>
      <c r="AW29" s="45" t="s">
        <v>285</v>
      </c>
      <c r="AX29" s="35" t="s">
        <v>291</v>
      </c>
      <c r="AY29" s="35" t="s">
        <v>291</v>
      </c>
      <c r="AZ29" s="27" t="s">
        <v>291</v>
      </c>
      <c r="BA29" s="26" t="s">
        <v>291</v>
      </c>
      <c r="BB29" s="29" t="s">
        <v>285</v>
      </c>
      <c r="BC29" s="31">
        <v>8</v>
      </c>
      <c r="BD29" s="20">
        <v>2</v>
      </c>
      <c r="BG29" s="130">
        <v>28</v>
      </c>
      <c r="BH29" s="131" t="s">
        <v>54</v>
      </c>
      <c r="BI29" s="131" t="s">
        <v>125</v>
      </c>
      <c r="BJ29" s="132">
        <v>10</v>
      </c>
      <c r="BK29" s="133">
        <v>10</v>
      </c>
      <c r="BL29" s="132">
        <v>10</v>
      </c>
      <c r="BM29" s="132">
        <v>10</v>
      </c>
      <c r="BN29" s="134"/>
      <c r="BO29" s="134"/>
      <c r="BP29">
        <f t="shared" si="0"/>
        <v>20</v>
      </c>
    </row>
    <row r="30" spans="1:68" ht="15.5" x14ac:dyDescent="0.35">
      <c r="A30" t="s">
        <v>249</v>
      </c>
      <c r="B30" s="108" t="s">
        <v>249</v>
      </c>
      <c r="C30" s="109" t="s">
        <v>250</v>
      </c>
      <c r="D30" s="101" t="s">
        <v>285</v>
      </c>
      <c r="E30" s="100" t="s">
        <v>291</v>
      </c>
      <c r="F30" s="100" t="s">
        <v>291</v>
      </c>
      <c r="G30" s="100" t="s">
        <v>291</v>
      </c>
      <c r="H30" s="100" t="s">
        <v>291</v>
      </c>
      <c r="I30" s="100" t="s">
        <v>291</v>
      </c>
      <c r="J30" s="102" t="s">
        <v>291</v>
      </c>
      <c r="K30" s="102" t="s">
        <v>291</v>
      </c>
      <c r="L30" s="103" t="s">
        <v>285</v>
      </c>
      <c r="M30" s="103" t="s">
        <v>285</v>
      </c>
      <c r="N30" s="15" t="s">
        <v>291</v>
      </c>
      <c r="O30" s="15" t="s">
        <v>291</v>
      </c>
      <c r="P30" s="15" t="s">
        <v>291</v>
      </c>
      <c r="Q30" s="15" t="s">
        <v>291</v>
      </c>
      <c r="R30" s="24" t="s">
        <v>291</v>
      </c>
      <c r="S30" s="24" t="s">
        <v>291</v>
      </c>
      <c r="T30" s="106" t="s">
        <v>291</v>
      </c>
      <c r="U30" s="25" t="s">
        <v>291</v>
      </c>
      <c r="V30" s="42" t="s">
        <v>291</v>
      </c>
      <c r="W30" s="26" t="s">
        <v>291</v>
      </c>
      <c r="X30" s="26" t="s">
        <v>291</v>
      </c>
      <c r="Y30" s="29" t="s">
        <v>285</v>
      </c>
      <c r="Z30" s="26" t="s">
        <v>291</v>
      </c>
      <c r="AA30" s="26" t="s">
        <v>292</v>
      </c>
      <c r="AB30" s="26" t="s">
        <v>291</v>
      </c>
      <c r="AC30" s="26" t="s">
        <v>291</v>
      </c>
      <c r="AD30" s="29" t="s">
        <v>285</v>
      </c>
      <c r="AE30" s="62" t="s">
        <v>291</v>
      </c>
      <c r="AF30" s="107" t="s">
        <v>285</v>
      </c>
      <c r="AG30" s="35" t="s">
        <v>291</v>
      </c>
      <c r="AH30" s="26" t="s">
        <v>291</v>
      </c>
      <c r="AI30" s="35" t="s">
        <v>291</v>
      </c>
      <c r="AJ30" s="107" t="s">
        <v>285</v>
      </c>
      <c r="AK30" s="66" t="s">
        <v>291</v>
      </c>
      <c r="AL30" s="45" t="s">
        <v>285</v>
      </c>
      <c r="AM30" s="81" t="s">
        <v>291</v>
      </c>
      <c r="AN30" s="27" t="s">
        <v>291</v>
      </c>
      <c r="AO30" s="27" t="s">
        <v>291</v>
      </c>
      <c r="AP30" s="27" t="s">
        <v>291</v>
      </c>
      <c r="AQ30" s="81" t="s">
        <v>291</v>
      </c>
      <c r="AR30" s="27" t="s">
        <v>291</v>
      </c>
      <c r="AS30" s="81" t="s">
        <v>291</v>
      </c>
      <c r="AT30" s="81" t="s">
        <v>291</v>
      </c>
      <c r="AU30" s="81" t="s">
        <v>291</v>
      </c>
      <c r="AV30" s="45" t="s">
        <v>285</v>
      </c>
      <c r="AW30" s="27" t="s">
        <v>291</v>
      </c>
      <c r="AX30" s="35" t="s">
        <v>291</v>
      </c>
      <c r="AY30" s="107" t="s">
        <v>285</v>
      </c>
      <c r="AZ30" s="27" t="s">
        <v>291</v>
      </c>
      <c r="BA30" s="26" t="s">
        <v>291</v>
      </c>
      <c r="BB30" s="26" t="s">
        <v>291</v>
      </c>
      <c r="BC30" s="31">
        <v>10</v>
      </c>
      <c r="BD30" s="20">
        <v>1</v>
      </c>
      <c r="BG30" s="130">
        <v>29</v>
      </c>
      <c r="BH30" s="131" t="s">
        <v>249</v>
      </c>
      <c r="BI30" s="131" t="s">
        <v>250</v>
      </c>
      <c r="BJ30" s="132">
        <v>10</v>
      </c>
      <c r="BK30" s="133">
        <v>10</v>
      </c>
      <c r="BL30" s="132">
        <v>10</v>
      </c>
      <c r="BM30" s="132">
        <v>10</v>
      </c>
      <c r="BN30" s="134"/>
      <c r="BO30" s="134"/>
      <c r="BP30">
        <f t="shared" si="0"/>
        <v>20</v>
      </c>
    </row>
    <row r="31" spans="1:68" ht="15.5" x14ac:dyDescent="0.35">
      <c r="A31" t="s">
        <v>251</v>
      </c>
      <c r="B31" s="2" t="s">
        <v>251</v>
      </c>
      <c r="C31" s="110" t="s">
        <v>252</v>
      </c>
      <c r="D31" s="101" t="s">
        <v>285</v>
      </c>
      <c r="E31" s="100" t="s">
        <v>291</v>
      </c>
      <c r="F31" s="100" t="s">
        <v>291</v>
      </c>
      <c r="G31" s="100" t="s">
        <v>291</v>
      </c>
      <c r="H31" s="100" t="s">
        <v>291</v>
      </c>
      <c r="I31" s="100" t="s">
        <v>291</v>
      </c>
      <c r="J31" s="102" t="s">
        <v>291</v>
      </c>
      <c r="K31" s="102" t="s">
        <v>291</v>
      </c>
      <c r="L31" s="102" t="s">
        <v>291</v>
      </c>
      <c r="M31" s="102" t="s">
        <v>291</v>
      </c>
      <c r="N31" s="15" t="s">
        <v>291</v>
      </c>
      <c r="O31" s="15" t="s">
        <v>291</v>
      </c>
      <c r="P31" s="15" t="s">
        <v>291</v>
      </c>
      <c r="Q31" s="15" t="s">
        <v>291</v>
      </c>
      <c r="R31" s="24" t="s">
        <v>291</v>
      </c>
      <c r="S31" s="24" t="s">
        <v>291</v>
      </c>
      <c r="T31" s="111" t="s">
        <v>285</v>
      </c>
      <c r="U31" s="25" t="s">
        <v>291</v>
      </c>
      <c r="V31" s="46" t="s">
        <v>285</v>
      </c>
      <c r="W31" s="26" t="s">
        <v>291</v>
      </c>
      <c r="X31" s="26" t="s">
        <v>292</v>
      </c>
      <c r="Y31" s="26" t="s">
        <v>291</v>
      </c>
      <c r="Z31" s="26" t="s">
        <v>291</v>
      </c>
      <c r="AA31" s="26" t="s">
        <v>291</v>
      </c>
      <c r="AB31" s="107" t="s">
        <v>285</v>
      </c>
      <c r="AC31" s="26" t="s">
        <v>292</v>
      </c>
      <c r="AD31" s="39" t="s">
        <v>291</v>
      </c>
      <c r="AE31" s="35" t="s">
        <v>291</v>
      </c>
      <c r="AF31" s="112" t="s">
        <v>291</v>
      </c>
      <c r="AG31" s="35" t="s">
        <v>291</v>
      </c>
      <c r="AH31" s="26" t="s">
        <v>291</v>
      </c>
      <c r="AI31" s="35" t="s">
        <v>291</v>
      </c>
      <c r="AJ31" s="35" t="s">
        <v>291</v>
      </c>
      <c r="AK31" s="113" t="s">
        <v>285</v>
      </c>
      <c r="AL31" s="27" t="s">
        <v>291</v>
      </c>
      <c r="AM31" s="81" t="s">
        <v>291</v>
      </c>
      <c r="AN31" s="27" t="s">
        <v>291</v>
      </c>
      <c r="AO31" s="90" t="s">
        <v>285</v>
      </c>
      <c r="AP31" s="27" t="s">
        <v>291</v>
      </c>
      <c r="AQ31" s="81" t="s">
        <v>291</v>
      </c>
      <c r="AR31" s="27" t="s">
        <v>291</v>
      </c>
      <c r="AS31" s="81" t="s">
        <v>291</v>
      </c>
      <c r="AT31" s="90" t="s">
        <v>285</v>
      </c>
      <c r="AU31" s="81" t="s">
        <v>291</v>
      </c>
      <c r="AV31" s="27" t="s">
        <v>291</v>
      </c>
      <c r="AW31" s="27" t="s">
        <v>291</v>
      </c>
      <c r="AX31" s="35" t="s">
        <v>292</v>
      </c>
      <c r="AY31" s="35" t="s">
        <v>291</v>
      </c>
      <c r="AZ31" s="45" t="s">
        <v>285</v>
      </c>
      <c r="BA31" s="26" t="s">
        <v>291</v>
      </c>
      <c r="BB31" s="26" t="s">
        <v>291</v>
      </c>
      <c r="BC31" s="31">
        <v>9</v>
      </c>
      <c r="BD31" s="20">
        <v>3</v>
      </c>
      <c r="BG31" s="130">
        <v>30</v>
      </c>
      <c r="BH31" s="137" t="s">
        <v>251</v>
      </c>
      <c r="BI31" s="137" t="s">
        <v>252</v>
      </c>
      <c r="BJ31" s="132">
        <v>10</v>
      </c>
      <c r="BK31" s="133">
        <v>10</v>
      </c>
      <c r="BL31" s="132">
        <v>10</v>
      </c>
      <c r="BM31" s="132">
        <v>10</v>
      </c>
      <c r="BN31" s="134"/>
      <c r="BO31" s="134"/>
      <c r="BP31">
        <f t="shared" si="0"/>
        <v>20</v>
      </c>
    </row>
    <row r="32" spans="1:68" ht="15.5" x14ac:dyDescent="0.35">
      <c r="A32" t="s">
        <v>182</v>
      </c>
      <c r="B32" s="114" t="s">
        <v>182</v>
      </c>
      <c r="C32" s="115" t="s">
        <v>253</v>
      </c>
      <c r="D32" s="100" t="s">
        <v>291</v>
      </c>
      <c r="E32" s="100" t="s">
        <v>291</v>
      </c>
      <c r="F32" s="100" t="s">
        <v>291</v>
      </c>
      <c r="G32" s="100" t="s">
        <v>291</v>
      </c>
      <c r="H32" s="100" t="s">
        <v>291</v>
      </c>
      <c r="I32" s="100" t="s">
        <v>291</v>
      </c>
      <c r="J32" s="102" t="s">
        <v>291</v>
      </c>
      <c r="K32" s="102" t="s">
        <v>291</v>
      </c>
      <c r="L32" s="102" t="s">
        <v>291</v>
      </c>
      <c r="M32" s="102" t="s">
        <v>291</v>
      </c>
      <c r="N32" s="16" t="s">
        <v>291</v>
      </c>
      <c r="O32" s="17" t="s">
        <v>291</v>
      </c>
      <c r="P32" s="17" t="s">
        <v>291</v>
      </c>
      <c r="Q32" s="17" t="s">
        <v>291</v>
      </c>
      <c r="R32" s="17" t="s">
        <v>291</v>
      </c>
      <c r="S32" s="17" t="s">
        <v>291</v>
      </c>
      <c r="T32" s="18" t="s">
        <v>291</v>
      </c>
      <c r="U32" s="18" t="s">
        <v>291</v>
      </c>
      <c r="V32" s="19" t="s">
        <v>291</v>
      </c>
      <c r="W32" s="20" t="s">
        <v>291</v>
      </c>
      <c r="X32" s="20" t="s">
        <v>291</v>
      </c>
      <c r="Y32" s="20" t="s">
        <v>291</v>
      </c>
      <c r="Z32" s="20" t="s">
        <v>291</v>
      </c>
      <c r="AA32" s="20" t="s">
        <v>291</v>
      </c>
      <c r="AB32" s="20" t="s">
        <v>291</v>
      </c>
      <c r="AC32" s="20" t="s">
        <v>291</v>
      </c>
      <c r="AD32" s="20" t="s">
        <v>291</v>
      </c>
      <c r="AE32" s="20" t="s">
        <v>291</v>
      </c>
      <c r="AF32" s="20" t="s">
        <v>291</v>
      </c>
      <c r="AG32" s="20" t="s">
        <v>291</v>
      </c>
      <c r="AH32" s="20" t="s">
        <v>291</v>
      </c>
      <c r="AI32" s="21" t="s">
        <v>291</v>
      </c>
      <c r="AJ32" s="21" t="s">
        <v>291</v>
      </c>
      <c r="AK32" s="21" t="s">
        <v>291</v>
      </c>
      <c r="AL32" s="21" t="s">
        <v>291</v>
      </c>
      <c r="AM32" s="21" t="s">
        <v>291</v>
      </c>
      <c r="AN32" s="21" t="s">
        <v>291</v>
      </c>
      <c r="AO32" s="21" t="s">
        <v>291</v>
      </c>
      <c r="AP32" s="21" t="s">
        <v>291</v>
      </c>
      <c r="AQ32" s="21" t="s">
        <v>291</v>
      </c>
      <c r="AR32" s="21" t="s">
        <v>291</v>
      </c>
      <c r="AS32" s="21" t="s">
        <v>291</v>
      </c>
      <c r="AT32" s="20" t="s">
        <v>291</v>
      </c>
      <c r="AU32" s="20" t="s">
        <v>291</v>
      </c>
      <c r="AV32" s="20" t="s">
        <v>291</v>
      </c>
      <c r="AW32" s="20" t="s">
        <v>291</v>
      </c>
      <c r="AX32" s="20" t="s">
        <v>291</v>
      </c>
      <c r="AY32" s="20" t="s">
        <v>291</v>
      </c>
      <c r="AZ32" s="20"/>
      <c r="BA32" s="20" t="s">
        <v>291</v>
      </c>
      <c r="BB32" s="20" t="s">
        <v>291</v>
      </c>
      <c r="BC32" s="20">
        <v>0</v>
      </c>
      <c r="BD32" s="20">
        <v>0</v>
      </c>
      <c r="BG32" s="130">
        <v>31</v>
      </c>
      <c r="BH32" s="131" t="s">
        <v>182</v>
      </c>
      <c r="BI32" s="131" t="s">
        <v>253</v>
      </c>
      <c r="BJ32" s="132">
        <v>10</v>
      </c>
      <c r="BK32" s="133">
        <v>10</v>
      </c>
      <c r="BL32" s="132">
        <v>10</v>
      </c>
      <c r="BM32" s="132">
        <v>10</v>
      </c>
      <c r="BN32" s="134"/>
      <c r="BO32" s="134"/>
      <c r="BP32">
        <f t="shared" si="0"/>
        <v>20</v>
      </c>
    </row>
    <row r="33" spans="1:68" ht="15.5" x14ac:dyDescent="0.35">
      <c r="A33" t="s">
        <v>56</v>
      </c>
      <c r="B33" s="98" t="s">
        <v>56</v>
      </c>
      <c r="C33" s="99" t="s">
        <v>254</v>
      </c>
      <c r="D33" s="100" t="s">
        <v>291</v>
      </c>
      <c r="E33" s="100" t="s">
        <v>291</v>
      </c>
      <c r="F33" s="100" t="s">
        <v>291</v>
      </c>
      <c r="G33" s="100" t="s">
        <v>291</v>
      </c>
      <c r="H33" s="100" t="s">
        <v>291</v>
      </c>
      <c r="I33" s="100" t="s">
        <v>291</v>
      </c>
      <c r="J33" s="102" t="s">
        <v>291</v>
      </c>
      <c r="K33" s="102" t="s">
        <v>291</v>
      </c>
      <c r="L33" s="102" t="s">
        <v>291</v>
      </c>
      <c r="M33" s="102" t="s">
        <v>291</v>
      </c>
      <c r="N33" s="16" t="s">
        <v>291</v>
      </c>
      <c r="O33" s="38" t="s">
        <v>285</v>
      </c>
      <c r="P33" s="24" t="s">
        <v>291</v>
      </c>
      <c r="Q33" s="24" t="s">
        <v>291</v>
      </c>
      <c r="R33" s="17" t="s">
        <v>291</v>
      </c>
      <c r="S33" s="17" t="s">
        <v>291</v>
      </c>
      <c r="T33" s="25" t="s">
        <v>291</v>
      </c>
      <c r="U33" s="18" t="s">
        <v>291</v>
      </c>
      <c r="V33" s="34" t="s">
        <v>285</v>
      </c>
      <c r="W33" s="26" t="s">
        <v>291</v>
      </c>
      <c r="X33" s="20" t="s">
        <v>291</v>
      </c>
      <c r="Y33" s="20" t="s">
        <v>291</v>
      </c>
      <c r="Z33" s="20" t="s">
        <v>291</v>
      </c>
      <c r="AA33" s="20" t="s">
        <v>291</v>
      </c>
      <c r="AB33" s="20" t="s">
        <v>291</v>
      </c>
      <c r="AC33" s="20" t="s">
        <v>291</v>
      </c>
      <c r="AD33" s="20" t="s">
        <v>291</v>
      </c>
      <c r="AE33" s="26" t="s">
        <v>291</v>
      </c>
      <c r="AF33" s="20" t="s">
        <v>291</v>
      </c>
      <c r="AG33" s="26" t="s">
        <v>291</v>
      </c>
      <c r="AH33" s="26" t="s">
        <v>291</v>
      </c>
      <c r="AI33" s="21" t="s">
        <v>291</v>
      </c>
      <c r="AJ33" s="27" t="s">
        <v>291</v>
      </c>
      <c r="AK33" s="21" t="s">
        <v>291</v>
      </c>
      <c r="AL33" s="21" t="s">
        <v>291</v>
      </c>
      <c r="AM33" s="21" t="s">
        <v>291</v>
      </c>
      <c r="AN33" s="27" t="s">
        <v>291</v>
      </c>
      <c r="AO33" s="27" t="s">
        <v>291</v>
      </c>
      <c r="AP33" s="116" t="s">
        <v>285</v>
      </c>
      <c r="AQ33" s="27" t="s">
        <v>291</v>
      </c>
      <c r="AR33" s="21" t="s">
        <v>291</v>
      </c>
      <c r="AS33" s="21" t="s">
        <v>291</v>
      </c>
      <c r="AT33" s="26" t="s">
        <v>291</v>
      </c>
      <c r="AU33" s="26" t="s">
        <v>291</v>
      </c>
      <c r="AV33" s="26" t="s">
        <v>291</v>
      </c>
      <c r="AW33" s="26" t="s">
        <v>291</v>
      </c>
      <c r="AX33" s="26" t="s">
        <v>291</v>
      </c>
      <c r="AY33" s="20" t="s">
        <v>291</v>
      </c>
      <c r="AZ33" s="20"/>
      <c r="BA33" s="20" t="s">
        <v>291</v>
      </c>
      <c r="BB33" s="31" t="s">
        <v>285</v>
      </c>
      <c r="BC33" s="20">
        <v>4</v>
      </c>
      <c r="BD33" s="20">
        <v>0</v>
      </c>
      <c r="BG33" s="130">
        <v>32</v>
      </c>
      <c r="BH33" s="131" t="s">
        <v>56</v>
      </c>
      <c r="BI33" s="131" t="s">
        <v>254</v>
      </c>
      <c r="BJ33" s="132">
        <v>10</v>
      </c>
      <c r="BK33" s="133">
        <v>10</v>
      </c>
      <c r="BL33" s="132">
        <v>10</v>
      </c>
      <c r="BM33" s="132">
        <v>10</v>
      </c>
      <c r="BN33" s="134"/>
      <c r="BO33" s="134"/>
      <c r="BP33">
        <f t="shared" si="0"/>
        <v>20</v>
      </c>
    </row>
    <row r="34" spans="1:68" ht="15.5" x14ac:dyDescent="0.35">
      <c r="A34" t="s">
        <v>255</v>
      </c>
      <c r="B34" s="98" t="s">
        <v>255</v>
      </c>
      <c r="C34" s="99" t="s">
        <v>256</v>
      </c>
      <c r="D34" s="100" t="s">
        <v>292</v>
      </c>
      <c r="E34" s="100" t="s">
        <v>291</v>
      </c>
      <c r="F34" s="100" t="s">
        <v>291</v>
      </c>
      <c r="G34" s="100" t="s">
        <v>291</v>
      </c>
      <c r="H34" s="100" t="s">
        <v>291</v>
      </c>
      <c r="I34" s="100" t="s">
        <v>291</v>
      </c>
      <c r="J34" s="102" t="s">
        <v>291</v>
      </c>
      <c r="K34" s="102" t="s">
        <v>291</v>
      </c>
      <c r="L34" s="102" t="s">
        <v>291</v>
      </c>
      <c r="M34" s="102" t="s">
        <v>291</v>
      </c>
      <c r="N34" s="16" t="s">
        <v>291</v>
      </c>
      <c r="O34" s="24" t="s">
        <v>291</v>
      </c>
      <c r="P34" s="24" t="s">
        <v>291</v>
      </c>
      <c r="Q34" s="24" t="s">
        <v>291</v>
      </c>
      <c r="R34" s="17" t="s">
        <v>291</v>
      </c>
      <c r="S34" s="17" t="s">
        <v>291</v>
      </c>
      <c r="T34" s="25" t="s">
        <v>291</v>
      </c>
      <c r="U34" s="18" t="s">
        <v>291</v>
      </c>
      <c r="V34" s="19" t="s">
        <v>291</v>
      </c>
      <c r="W34" s="26" t="s">
        <v>291</v>
      </c>
      <c r="X34" s="20" t="s">
        <v>291</v>
      </c>
      <c r="Y34" s="26" t="s">
        <v>291</v>
      </c>
      <c r="Z34" s="20" t="s">
        <v>291</v>
      </c>
      <c r="AA34" s="20" t="s">
        <v>291</v>
      </c>
      <c r="AB34" s="20" t="s">
        <v>291</v>
      </c>
      <c r="AC34" s="20" t="s">
        <v>292</v>
      </c>
      <c r="AD34" s="20" t="s">
        <v>291</v>
      </c>
      <c r="AE34" s="26" t="s">
        <v>291</v>
      </c>
      <c r="AF34" s="20" t="s">
        <v>291</v>
      </c>
      <c r="AG34" s="26" t="s">
        <v>291</v>
      </c>
      <c r="AH34" s="26" t="s">
        <v>291</v>
      </c>
      <c r="AI34" s="116" t="s">
        <v>285</v>
      </c>
      <c r="AJ34" s="27" t="s">
        <v>291</v>
      </c>
      <c r="AK34" s="21" t="s">
        <v>291</v>
      </c>
      <c r="AL34" s="21" t="s">
        <v>291</v>
      </c>
      <c r="AM34" s="21" t="s">
        <v>291</v>
      </c>
      <c r="AN34" s="27" t="s">
        <v>291</v>
      </c>
      <c r="AO34" s="27" t="s">
        <v>292</v>
      </c>
      <c r="AP34" s="21" t="s">
        <v>292</v>
      </c>
      <c r="AQ34" s="27" t="s">
        <v>291</v>
      </c>
      <c r="AR34" s="21" t="s">
        <v>291</v>
      </c>
      <c r="AS34" s="21" t="s">
        <v>291</v>
      </c>
      <c r="AT34" s="26" t="s">
        <v>291</v>
      </c>
      <c r="AU34" s="26" t="s">
        <v>291</v>
      </c>
      <c r="AV34" s="26" t="s">
        <v>291</v>
      </c>
      <c r="AW34" s="29" t="s">
        <v>285</v>
      </c>
      <c r="AX34" s="26" t="s">
        <v>291</v>
      </c>
      <c r="AY34" s="20" t="s">
        <v>291</v>
      </c>
      <c r="AZ34" s="20"/>
      <c r="BA34" s="20" t="s">
        <v>291</v>
      </c>
      <c r="BB34" s="20" t="s">
        <v>291</v>
      </c>
      <c r="BC34" s="20">
        <v>2</v>
      </c>
      <c r="BD34" s="20">
        <v>4</v>
      </c>
      <c r="BG34" s="130">
        <v>33</v>
      </c>
      <c r="BH34" s="131" t="s">
        <v>255</v>
      </c>
      <c r="BI34" s="131" t="s">
        <v>256</v>
      </c>
      <c r="BJ34" s="132">
        <v>10</v>
      </c>
      <c r="BK34" s="133">
        <v>10</v>
      </c>
      <c r="BL34" s="132">
        <v>10</v>
      </c>
      <c r="BM34" s="132">
        <v>10</v>
      </c>
      <c r="BN34" s="134"/>
      <c r="BO34" s="134"/>
      <c r="BP34">
        <f t="shared" si="0"/>
        <v>20</v>
      </c>
    </row>
    <row r="35" spans="1:68" ht="15.5" x14ac:dyDescent="0.35">
      <c r="A35" t="s">
        <v>257</v>
      </c>
      <c r="B35" s="98" t="s">
        <v>257</v>
      </c>
      <c r="C35" s="99" t="s">
        <v>77</v>
      </c>
      <c r="D35" s="100" t="s">
        <v>291</v>
      </c>
      <c r="E35" s="100" t="s">
        <v>291</v>
      </c>
      <c r="F35" s="100" t="s">
        <v>291</v>
      </c>
      <c r="G35" s="100" t="s">
        <v>291</v>
      </c>
      <c r="H35" s="100" t="s">
        <v>291</v>
      </c>
      <c r="I35" s="100" t="s">
        <v>291</v>
      </c>
      <c r="J35" s="102" t="s">
        <v>291</v>
      </c>
      <c r="K35" s="102" t="s">
        <v>291</v>
      </c>
      <c r="L35" s="102" t="s">
        <v>291</v>
      </c>
      <c r="M35" s="102" t="s">
        <v>291</v>
      </c>
      <c r="N35" s="16" t="s">
        <v>291</v>
      </c>
      <c r="O35" s="24" t="s">
        <v>291</v>
      </c>
      <c r="P35" s="24" t="s">
        <v>291</v>
      </c>
      <c r="Q35" s="24" t="s">
        <v>291</v>
      </c>
      <c r="R35" s="17" t="s">
        <v>291</v>
      </c>
      <c r="S35" s="17" t="s">
        <v>291</v>
      </c>
      <c r="T35" s="25" t="s">
        <v>291</v>
      </c>
      <c r="U35" s="18" t="s">
        <v>291</v>
      </c>
      <c r="V35" s="19" t="s">
        <v>291</v>
      </c>
      <c r="W35" s="26" t="s">
        <v>291</v>
      </c>
      <c r="X35" s="31" t="s">
        <v>285</v>
      </c>
      <c r="Y35" s="26" t="s">
        <v>291</v>
      </c>
      <c r="Z35" s="20" t="s">
        <v>291</v>
      </c>
      <c r="AA35" s="26" t="s">
        <v>291</v>
      </c>
      <c r="AB35" s="20" t="s">
        <v>291</v>
      </c>
      <c r="AC35" s="20" t="s">
        <v>291</v>
      </c>
      <c r="AD35" s="20" t="s">
        <v>291</v>
      </c>
      <c r="AE35" s="29" t="s">
        <v>285</v>
      </c>
      <c r="AF35" s="20" t="s">
        <v>291</v>
      </c>
      <c r="AG35" s="26" t="s">
        <v>291</v>
      </c>
      <c r="AH35" s="26" t="s">
        <v>291</v>
      </c>
      <c r="AI35" s="21" t="s">
        <v>291</v>
      </c>
      <c r="AJ35" s="27" t="s">
        <v>291</v>
      </c>
      <c r="AK35" s="21" t="s">
        <v>291</v>
      </c>
      <c r="AL35" s="21" t="s">
        <v>291</v>
      </c>
      <c r="AM35" s="21" t="s">
        <v>291</v>
      </c>
      <c r="AN35" s="27" t="s">
        <v>291</v>
      </c>
      <c r="AO35" s="27" t="s">
        <v>291</v>
      </c>
      <c r="AP35" s="21" t="s">
        <v>291</v>
      </c>
      <c r="AQ35" s="27" t="s">
        <v>291</v>
      </c>
      <c r="AR35" s="21" t="s">
        <v>291</v>
      </c>
      <c r="AS35" s="21" t="s">
        <v>291</v>
      </c>
      <c r="AT35" s="26" t="s">
        <v>291</v>
      </c>
      <c r="AU35" s="26" t="s">
        <v>291</v>
      </c>
      <c r="AV35" s="26" t="s">
        <v>291</v>
      </c>
      <c r="AW35" s="26" t="s">
        <v>291</v>
      </c>
      <c r="AX35" s="26" t="s">
        <v>291</v>
      </c>
      <c r="AY35" s="20" t="s">
        <v>291</v>
      </c>
      <c r="AZ35" s="20"/>
      <c r="BA35" s="20" t="s">
        <v>291</v>
      </c>
      <c r="BB35" s="20" t="s">
        <v>291</v>
      </c>
      <c r="BC35" s="20">
        <v>2</v>
      </c>
      <c r="BD35" s="20">
        <v>0</v>
      </c>
      <c r="BG35" s="136">
        <v>34</v>
      </c>
      <c r="BH35" s="137" t="s">
        <v>257</v>
      </c>
      <c r="BI35" s="137" t="s">
        <v>77</v>
      </c>
      <c r="BJ35" s="132">
        <v>10</v>
      </c>
      <c r="BK35" s="133">
        <v>10</v>
      </c>
      <c r="BL35" s="134"/>
      <c r="BM35" s="134"/>
      <c r="BN35" s="134"/>
      <c r="BO35" s="134"/>
      <c r="BP35">
        <f t="shared" si="0"/>
        <v>40</v>
      </c>
    </row>
    <row r="36" spans="1:68" ht="15.5" x14ac:dyDescent="0.35">
      <c r="A36" t="s">
        <v>67</v>
      </c>
      <c r="B36" s="98" t="s">
        <v>67</v>
      </c>
      <c r="C36" s="99" t="s">
        <v>258</v>
      </c>
      <c r="D36" s="100" t="s">
        <v>291</v>
      </c>
      <c r="E36" s="100" t="s">
        <v>291</v>
      </c>
      <c r="F36" s="100" t="s">
        <v>291</v>
      </c>
      <c r="G36" s="100" t="s">
        <v>291</v>
      </c>
      <c r="H36" s="100" t="s">
        <v>291</v>
      </c>
      <c r="I36" s="100" t="s">
        <v>291</v>
      </c>
      <c r="J36" s="102" t="s">
        <v>291</v>
      </c>
      <c r="K36" s="102" t="s">
        <v>291</v>
      </c>
      <c r="L36" s="102" t="s">
        <v>291</v>
      </c>
      <c r="M36" s="102" t="s">
        <v>291</v>
      </c>
      <c r="N36" s="117" t="s">
        <v>285</v>
      </c>
      <c r="O36" s="84" t="s">
        <v>291</v>
      </c>
      <c r="P36" s="24" t="s">
        <v>291</v>
      </c>
      <c r="Q36" s="24" t="s">
        <v>291</v>
      </c>
      <c r="R36" s="17" t="s">
        <v>291</v>
      </c>
      <c r="S36" s="17" t="s">
        <v>291</v>
      </c>
      <c r="T36" s="25" t="s">
        <v>291</v>
      </c>
      <c r="U36" s="18" t="s">
        <v>291</v>
      </c>
      <c r="V36" s="19" t="s">
        <v>291</v>
      </c>
      <c r="W36" s="29" t="s">
        <v>285</v>
      </c>
      <c r="X36" s="31" t="s">
        <v>285</v>
      </c>
      <c r="Y36" s="29" t="s">
        <v>285</v>
      </c>
      <c r="Z36" s="20" t="s">
        <v>291</v>
      </c>
      <c r="AA36" s="26" t="s">
        <v>291</v>
      </c>
      <c r="AB36" s="20" t="s">
        <v>291</v>
      </c>
      <c r="AC36" s="20" t="s">
        <v>291</v>
      </c>
      <c r="AD36" s="20" t="s">
        <v>291</v>
      </c>
      <c r="AE36" s="29" t="s">
        <v>285</v>
      </c>
      <c r="AF36" s="20" t="s">
        <v>291</v>
      </c>
      <c r="AG36" s="26" t="s">
        <v>291</v>
      </c>
      <c r="AH36" s="26" t="s">
        <v>291</v>
      </c>
      <c r="AI36" s="21" t="s">
        <v>291</v>
      </c>
      <c r="AJ36" s="27" t="s">
        <v>291</v>
      </c>
      <c r="AK36" s="21" t="s">
        <v>291</v>
      </c>
      <c r="AL36" s="21" t="s">
        <v>291</v>
      </c>
      <c r="AM36" s="21" t="s">
        <v>291</v>
      </c>
      <c r="AN36" s="27" t="s">
        <v>291</v>
      </c>
      <c r="AO36" s="27" t="s">
        <v>291</v>
      </c>
      <c r="AP36" s="116" t="s">
        <v>285</v>
      </c>
      <c r="AQ36" s="27" t="s">
        <v>291</v>
      </c>
      <c r="AR36" s="21" t="s">
        <v>291</v>
      </c>
      <c r="AS36" s="21" t="s">
        <v>291</v>
      </c>
      <c r="AT36" s="26" t="s">
        <v>291</v>
      </c>
      <c r="AU36" s="26" t="s">
        <v>291</v>
      </c>
      <c r="AV36" s="26" t="s">
        <v>291</v>
      </c>
      <c r="AW36" s="26" t="s">
        <v>291</v>
      </c>
      <c r="AX36" s="26" t="s">
        <v>291</v>
      </c>
      <c r="AY36" s="20" t="s">
        <v>291</v>
      </c>
      <c r="AZ36" s="20"/>
      <c r="BA36" s="20" t="s">
        <v>291</v>
      </c>
      <c r="BB36" s="20" t="s">
        <v>291</v>
      </c>
      <c r="BC36" s="31">
        <v>6</v>
      </c>
      <c r="BD36" s="20">
        <v>0</v>
      </c>
      <c r="BG36" s="135">
        <v>35</v>
      </c>
      <c r="BH36" s="2" t="s">
        <v>372</v>
      </c>
      <c r="BI36" s="2" t="s">
        <v>258</v>
      </c>
      <c r="BJ36" s="132">
        <v>10</v>
      </c>
      <c r="BK36" s="133">
        <v>10</v>
      </c>
      <c r="BL36" s="132">
        <v>10</v>
      </c>
      <c r="BM36" s="132">
        <v>10</v>
      </c>
      <c r="BN36" s="134"/>
      <c r="BO36" s="134"/>
      <c r="BP36">
        <f t="shared" si="0"/>
        <v>20</v>
      </c>
    </row>
    <row r="37" spans="1:68" ht="15.5" x14ac:dyDescent="0.35">
      <c r="A37" t="s">
        <v>218</v>
      </c>
      <c r="B37" s="98" t="s">
        <v>218</v>
      </c>
      <c r="C37" s="99" t="s">
        <v>88</v>
      </c>
      <c r="D37" s="100" t="s">
        <v>292</v>
      </c>
      <c r="E37" s="100" t="s">
        <v>291</v>
      </c>
      <c r="F37" s="100" t="s">
        <v>291</v>
      </c>
      <c r="G37" s="100" t="s">
        <v>291</v>
      </c>
      <c r="H37" s="100" t="s">
        <v>291</v>
      </c>
      <c r="I37" s="100" t="s">
        <v>291</v>
      </c>
      <c r="J37" s="102" t="s">
        <v>291</v>
      </c>
      <c r="K37" s="102" t="s">
        <v>292</v>
      </c>
      <c r="L37" s="102" t="s">
        <v>291</v>
      </c>
      <c r="M37" s="102" t="s">
        <v>292</v>
      </c>
      <c r="N37" s="16" t="s">
        <v>291</v>
      </c>
      <c r="O37" s="24" t="s">
        <v>292</v>
      </c>
      <c r="P37" s="24" t="s">
        <v>291</v>
      </c>
      <c r="Q37" s="24" t="s">
        <v>291</v>
      </c>
      <c r="R37" s="17" t="s">
        <v>291</v>
      </c>
      <c r="S37" s="17" t="s">
        <v>291</v>
      </c>
      <c r="T37" s="25" t="s">
        <v>291</v>
      </c>
      <c r="U37" s="18" t="s">
        <v>291</v>
      </c>
      <c r="V37" s="19" t="s">
        <v>291</v>
      </c>
      <c r="W37" s="26" t="s">
        <v>291</v>
      </c>
      <c r="X37" s="20" t="s">
        <v>291</v>
      </c>
      <c r="Y37" s="26" t="s">
        <v>291</v>
      </c>
      <c r="Z37" s="20" t="s">
        <v>291</v>
      </c>
      <c r="AA37" s="26" t="s">
        <v>291</v>
      </c>
      <c r="AB37" s="20" t="s">
        <v>291</v>
      </c>
      <c r="AC37" s="20" t="s">
        <v>291</v>
      </c>
      <c r="AD37" s="20" t="s">
        <v>291</v>
      </c>
      <c r="AE37" s="26" t="s">
        <v>291</v>
      </c>
      <c r="AF37" s="20" t="s">
        <v>291</v>
      </c>
      <c r="AG37" s="26" t="s">
        <v>291</v>
      </c>
      <c r="AH37" s="26" t="s">
        <v>291</v>
      </c>
      <c r="AI37" s="21" t="s">
        <v>291</v>
      </c>
      <c r="AJ37" s="27" t="s">
        <v>291</v>
      </c>
      <c r="AK37" s="21" t="s">
        <v>291</v>
      </c>
      <c r="AL37" s="21" t="s">
        <v>291</v>
      </c>
      <c r="AM37" s="21" t="s">
        <v>291</v>
      </c>
      <c r="AN37" s="27" t="s">
        <v>291</v>
      </c>
      <c r="AO37" s="27" t="s">
        <v>291</v>
      </c>
      <c r="AP37" s="21" t="s">
        <v>291</v>
      </c>
      <c r="AQ37" s="27" t="s">
        <v>291</v>
      </c>
      <c r="AR37" s="21" t="s">
        <v>291</v>
      </c>
      <c r="AS37" s="21" t="s">
        <v>291</v>
      </c>
      <c r="AT37" s="26" t="s">
        <v>291</v>
      </c>
      <c r="AU37" s="26" t="s">
        <v>291</v>
      </c>
      <c r="AV37" s="26" t="s">
        <v>291</v>
      </c>
      <c r="AW37" s="26" t="s">
        <v>291</v>
      </c>
      <c r="AX37" s="26" t="s">
        <v>291</v>
      </c>
      <c r="AY37" s="31" t="s">
        <v>285</v>
      </c>
      <c r="AZ37" s="20"/>
      <c r="BA37" s="20" t="s">
        <v>291</v>
      </c>
      <c r="BB37" s="20" t="s">
        <v>291</v>
      </c>
      <c r="BC37" s="20">
        <v>1</v>
      </c>
      <c r="BD37" s="20">
        <v>4</v>
      </c>
      <c r="BG37" s="130">
        <v>36</v>
      </c>
      <c r="BH37" s="138" t="s">
        <v>218</v>
      </c>
      <c r="BI37" s="138" t="s">
        <v>88</v>
      </c>
      <c r="BJ37" s="132">
        <v>10</v>
      </c>
      <c r="BK37" s="133">
        <v>10</v>
      </c>
      <c r="BL37" s="132">
        <v>10</v>
      </c>
      <c r="BM37" s="132">
        <v>10</v>
      </c>
      <c r="BN37" s="132">
        <v>10</v>
      </c>
      <c r="BO37" s="132">
        <v>10</v>
      </c>
      <c r="BP37" t="str">
        <f t="shared" si="0"/>
        <v/>
      </c>
    </row>
    <row r="38" spans="1:68" ht="15.5" x14ac:dyDescent="0.35">
      <c r="A38" t="s">
        <v>259</v>
      </c>
      <c r="B38" s="98" t="s">
        <v>259</v>
      </c>
      <c r="C38" s="99" t="s">
        <v>130</v>
      </c>
      <c r="D38" s="101" t="s">
        <v>285</v>
      </c>
      <c r="E38" s="100" t="s">
        <v>291</v>
      </c>
      <c r="F38" s="100" t="s">
        <v>291</v>
      </c>
      <c r="G38" s="100" t="s">
        <v>291</v>
      </c>
      <c r="H38" s="100" t="s">
        <v>291</v>
      </c>
      <c r="I38" s="100" t="s">
        <v>291</v>
      </c>
      <c r="J38" s="102" t="s">
        <v>291</v>
      </c>
      <c r="K38" s="102" t="s">
        <v>291</v>
      </c>
      <c r="L38" s="102" t="s">
        <v>291</v>
      </c>
      <c r="M38" s="103" t="s">
        <v>285</v>
      </c>
      <c r="N38" s="16" t="s">
        <v>292</v>
      </c>
      <c r="O38" s="38" t="s">
        <v>285</v>
      </c>
      <c r="P38" s="38" t="s">
        <v>285</v>
      </c>
      <c r="Q38" s="38" t="s">
        <v>285</v>
      </c>
      <c r="R38" s="37" t="s">
        <v>285</v>
      </c>
      <c r="S38" s="17" t="s">
        <v>291</v>
      </c>
      <c r="T38" s="25" t="s">
        <v>291</v>
      </c>
      <c r="U38" s="18" t="s">
        <v>291</v>
      </c>
      <c r="V38" s="19" t="s">
        <v>291</v>
      </c>
      <c r="W38" s="26" t="s">
        <v>291</v>
      </c>
      <c r="X38" s="20" t="s">
        <v>291</v>
      </c>
      <c r="Y38" s="26" t="s">
        <v>291</v>
      </c>
      <c r="Z38" s="20" t="s">
        <v>291</v>
      </c>
      <c r="AA38" s="26" t="s">
        <v>291</v>
      </c>
      <c r="AB38" s="20" t="s">
        <v>291</v>
      </c>
      <c r="AC38" s="20" t="s">
        <v>291</v>
      </c>
      <c r="AD38" s="20" t="s">
        <v>291</v>
      </c>
      <c r="AE38" s="26" t="s">
        <v>292</v>
      </c>
      <c r="AF38" s="20" t="s">
        <v>291</v>
      </c>
      <c r="AG38" s="26" t="s">
        <v>291</v>
      </c>
      <c r="AH38" s="29" t="s">
        <v>285</v>
      </c>
      <c r="AI38" s="21" t="s">
        <v>291</v>
      </c>
      <c r="AJ38" s="27" t="s">
        <v>291</v>
      </c>
      <c r="AK38" s="21" t="s">
        <v>292</v>
      </c>
      <c r="AL38" s="21" t="s">
        <v>292</v>
      </c>
      <c r="AM38" s="21" t="s">
        <v>291</v>
      </c>
      <c r="AN38" s="45" t="s">
        <v>285</v>
      </c>
      <c r="AO38" s="27" t="s">
        <v>291</v>
      </c>
      <c r="AP38" s="21" t="s">
        <v>291</v>
      </c>
      <c r="AQ38" s="27" t="s">
        <v>292</v>
      </c>
      <c r="AR38" s="21" t="s">
        <v>291</v>
      </c>
      <c r="AS38" s="116" t="s">
        <v>285</v>
      </c>
      <c r="AT38" s="29" t="s">
        <v>285</v>
      </c>
      <c r="AU38" s="29" t="s">
        <v>285</v>
      </c>
      <c r="AV38" s="26" t="s">
        <v>291</v>
      </c>
      <c r="AW38" s="26" t="s">
        <v>291</v>
      </c>
      <c r="AX38" s="26" t="s">
        <v>291</v>
      </c>
      <c r="AY38" s="31" t="s">
        <v>285</v>
      </c>
      <c r="AZ38" s="20"/>
      <c r="BA38" s="20" t="s">
        <v>291</v>
      </c>
      <c r="BB38" s="20" t="s">
        <v>291</v>
      </c>
      <c r="BC38" s="31">
        <v>14</v>
      </c>
      <c r="BD38" s="31">
        <v>5</v>
      </c>
      <c r="BG38" s="130">
        <v>37</v>
      </c>
      <c r="BH38" s="131" t="s">
        <v>259</v>
      </c>
      <c r="BI38" s="131" t="s">
        <v>130</v>
      </c>
      <c r="BJ38" s="132">
        <v>10</v>
      </c>
      <c r="BK38" s="133">
        <v>10</v>
      </c>
      <c r="BL38" s="132">
        <v>10</v>
      </c>
      <c r="BM38" s="132">
        <v>10</v>
      </c>
      <c r="BN38" s="134"/>
      <c r="BO38" s="134"/>
      <c r="BP38">
        <f t="shared" si="0"/>
        <v>20</v>
      </c>
    </row>
    <row r="39" spans="1:68" ht="15.5" x14ac:dyDescent="0.35">
      <c r="A39" t="s">
        <v>260</v>
      </c>
      <c r="B39" s="98" t="s">
        <v>260</v>
      </c>
      <c r="C39" s="99" t="s">
        <v>261</v>
      </c>
      <c r="D39" s="100" t="s">
        <v>291</v>
      </c>
      <c r="E39" s="100" t="s">
        <v>291</v>
      </c>
      <c r="F39" s="100" t="s">
        <v>291</v>
      </c>
      <c r="G39" s="100" t="s">
        <v>291</v>
      </c>
      <c r="H39" s="100" t="s">
        <v>291</v>
      </c>
      <c r="I39" s="100" t="s">
        <v>291</v>
      </c>
      <c r="J39" s="102" t="s">
        <v>291</v>
      </c>
      <c r="K39" s="102" t="s">
        <v>291</v>
      </c>
      <c r="L39" s="103" t="s">
        <v>285</v>
      </c>
      <c r="M39" s="102" t="s">
        <v>291</v>
      </c>
      <c r="N39" s="23" t="s">
        <v>291</v>
      </c>
      <c r="O39" s="24" t="s">
        <v>291</v>
      </c>
      <c r="P39" s="24" t="s">
        <v>291</v>
      </c>
      <c r="Q39" s="24" t="s">
        <v>291</v>
      </c>
      <c r="R39" s="17" t="s">
        <v>291</v>
      </c>
      <c r="S39" s="24" t="s">
        <v>291</v>
      </c>
      <c r="T39" s="25" t="s">
        <v>291</v>
      </c>
      <c r="U39" s="18" t="s">
        <v>291</v>
      </c>
      <c r="V39" s="19" t="s">
        <v>292</v>
      </c>
      <c r="W39" s="29" t="s">
        <v>285</v>
      </c>
      <c r="X39" s="20" t="s">
        <v>291</v>
      </c>
      <c r="Y39" s="26" t="s">
        <v>291</v>
      </c>
      <c r="Z39" s="20" t="s">
        <v>291</v>
      </c>
      <c r="AA39" s="26" t="s">
        <v>291</v>
      </c>
      <c r="AB39" s="20" t="s">
        <v>291</v>
      </c>
      <c r="AC39" s="20" t="s">
        <v>291</v>
      </c>
      <c r="AD39" s="20" t="s">
        <v>292</v>
      </c>
      <c r="AE39" s="26" t="s">
        <v>292</v>
      </c>
      <c r="AF39" s="31" t="s">
        <v>285</v>
      </c>
      <c r="AG39" s="26" t="s">
        <v>291</v>
      </c>
      <c r="AH39" s="29" t="s">
        <v>285</v>
      </c>
      <c r="AI39" s="21" t="s">
        <v>291</v>
      </c>
      <c r="AJ39" s="27" t="s">
        <v>291</v>
      </c>
      <c r="AK39" s="21" t="s">
        <v>291</v>
      </c>
      <c r="AL39" s="21" t="s">
        <v>291</v>
      </c>
      <c r="AM39" s="21" t="s">
        <v>291</v>
      </c>
      <c r="AN39" s="45" t="s">
        <v>285</v>
      </c>
      <c r="AO39" s="27" t="s">
        <v>291</v>
      </c>
      <c r="AP39" s="21" t="s">
        <v>291</v>
      </c>
      <c r="AQ39" s="45" t="s">
        <v>285</v>
      </c>
      <c r="AR39" s="21" t="s">
        <v>291</v>
      </c>
      <c r="AS39" s="21" t="s">
        <v>291</v>
      </c>
      <c r="AT39" s="29" t="s">
        <v>285</v>
      </c>
      <c r="AU39" s="26" t="s">
        <v>291</v>
      </c>
      <c r="AV39" s="26" t="s">
        <v>292</v>
      </c>
      <c r="AW39" s="26" t="s">
        <v>291</v>
      </c>
      <c r="AX39" s="26" t="s">
        <v>291</v>
      </c>
      <c r="AY39" s="31" t="s">
        <v>285</v>
      </c>
      <c r="AZ39" s="20"/>
      <c r="BA39" s="20" t="s">
        <v>291</v>
      </c>
      <c r="BB39" s="31" t="s">
        <v>285</v>
      </c>
      <c r="BC39" s="31">
        <v>10</v>
      </c>
      <c r="BD39" s="20">
        <v>4</v>
      </c>
      <c r="BG39" s="130">
        <v>38</v>
      </c>
      <c r="BH39" s="131" t="s">
        <v>260</v>
      </c>
      <c r="BI39" s="131" t="s">
        <v>261</v>
      </c>
      <c r="BJ39" s="132">
        <v>10</v>
      </c>
      <c r="BK39" s="133">
        <v>10</v>
      </c>
      <c r="BL39" s="132">
        <v>10</v>
      </c>
      <c r="BM39" s="132">
        <v>10</v>
      </c>
      <c r="BN39" s="132">
        <v>10</v>
      </c>
      <c r="BO39" s="132">
        <v>10</v>
      </c>
      <c r="BP39" t="str">
        <f t="shared" si="0"/>
        <v/>
      </c>
    </row>
    <row r="40" spans="1:68" ht="15.5" x14ac:dyDescent="0.35">
      <c r="A40" t="s">
        <v>262</v>
      </c>
      <c r="B40" s="98" t="s">
        <v>262</v>
      </c>
      <c r="C40" s="99" t="s">
        <v>263</v>
      </c>
      <c r="D40" s="100" t="s">
        <v>291</v>
      </c>
      <c r="E40" s="100" t="s">
        <v>291</v>
      </c>
      <c r="F40" s="100" t="s">
        <v>291</v>
      </c>
      <c r="G40" s="100" t="s">
        <v>291</v>
      </c>
      <c r="H40" s="100" t="s">
        <v>291</v>
      </c>
      <c r="I40" s="100" t="s">
        <v>291</v>
      </c>
      <c r="J40" s="102" t="s">
        <v>291</v>
      </c>
      <c r="K40" s="102" t="s">
        <v>291</v>
      </c>
      <c r="L40" s="102" t="s">
        <v>291</v>
      </c>
      <c r="M40" s="102" t="s">
        <v>291</v>
      </c>
      <c r="N40" s="23" t="s">
        <v>291</v>
      </c>
      <c r="O40" s="24" t="s">
        <v>291</v>
      </c>
      <c r="P40" s="24" t="s">
        <v>291</v>
      </c>
      <c r="Q40" s="24" t="s">
        <v>291</v>
      </c>
      <c r="R40" s="17" t="s">
        <v>291</v>
      </c>
      <c r="S40" s="24" t="s">
        <v>291</v>
      </c>
      <c r="T40" s="25" t="s">
        <v>291</v>
      </c>
      <c r="U40" s="18" t="s">
        <v>291</v>
      </c>
      <c r="V40" s="19" t="s">
        <v>291</v>
      </c>
      <c r="W40" s="26" t="s">
        <v>291</v>
      </c>
      <c r="X40" s="20" t="s">
        <v>291</v>
      </c>
      <c r="Y40" s="26" t="s">
        <v>291</v>
      </c>
      <c r="Z40" s="20" t="s">
        <v>291</v>
      </c>
      <c r="AA40" s="26" t="s">
        <v>291</v>
      </c>
      <c r="AB40" s="20" t="s">
        <v>291</v>
      </c>
      <c r="AC40" s="20" t="s">
        <v>291</v>
      </c>
      <c r="AD40" s="20" t="s">
        <v>291</v>
      </c>
      <c r="AE40" s="26" t="s">
        <v>291</v>
      </c>
      <c r="AF40" s="20" t="s">
        <v>291</v>
      </c>
      <c r="AG40" s="26" t="s">
        <v>291</v>
      </c>
      <c r="AH40" s="26" t="s">
        <v>291</v>
      </c>
      <c r="AI40" s="21" t="s">
        <v>291</v>
      </c>
      <c r="AJ40" s="27" t="s">
        <v>291</v>
      </c>
      <c r="AK40" s="21" t="s">
        <v>291</v>
      </c>
      <c r="AL40" s="21" t="s">
        <v>291</v>
      </c>
      <c r="AM40" s="21" t="s">
        <v>291</v>
      </c>
      <c r="AN40" s="27" t="s">
        <v>291</v>
      </c>
      <c r="AO40" s="27" t="s">
        <v>291</v>
      </c>
      <c r="AP40" s="21" t="s">
        <v>291</v>
      </c>
      <c r="AQ40" s="27" t="s">
        <v>291</v>
      </c>
      <c r="AR40" s="21" t="s">
        <v>291</v>
      </c>
      <c r="AS40" s="21" t="s">
        <v>291</v>
      </c>
      <c r="AT40" s="26" t="s">
        <v>291</v>
      </c>
      <c r="AU40" s="26" t="s">
        <v>291</v>
      </c>
      <c r="AV40" s="26" t="s">
        <v>291</v>
      </c>
      <c r="AW40" s="26" t="s">
        <v>291</v>
      </c>
      <c r="AX40" s="26" t="s">
        <v>291</v>
      </c>
      <c r="AY40" s="20" t="s">
        <v>291</v>
      </c>
      <c r="AZ40" s="20"/>
      <c r="BA40" s="20" t="s">
        <v>291</v>
      </c>
      <c r="BB40" s="20" t="s">
        <v>291</v>
      </c>
      <c r="BC40" s="20">
        <v>0</v>
      </c>
      <c r="BD40" s="20">
        <v>0</v>
      </c>
      <c r="BG40" s="130">
        <v>39</v>
      </c>
      <c r="BH40" s="131" t="s">
        <v>262</v>
      </c>
      <c r="BI40" s="131" t="s">
        <v>263</v>
      </c>
      <c r="BJ40" s="132">
        <v>10</v>
      </c>
      <c r="BK40" s="133">
        <v>10</v>
      </c>
      <c r="BL40" s="132">
        <v>10</v>
      </c>
      <c r="BM40" s="132">
        <v>10</v>
      </c>
      <c r="BN40" s="134"/>
      <c r="BO40" s="134"/>
      <c r="BP40">
        <f t="shared" si="0"/>
        <v>20</v>
      </c>
    </row>
    <row r="41" spans="1:68" ht="15.5" x14ac:dyDescent="0.35">
      <c r="A41" t="s">
        <v>98</v>
      </c>
      <c r="B41" s="98" t="s">
        <v>98</v>
      </c>
      <c r="C41" s="99" t="s">
        <v>100</v>
      </c>
      <c r="D41" s="100" t="s">
        <v>291</v>
      </c>
      <c r="E41" s="100" t="s">
        <v>291</v>
      </c>
      <c r="F41" s="100" t="s">
        <v>291</v>
      </c>
      <c r="G41" s="100" t="s">
        <v>291</v>
      </c>
      <c r="H41" s="100" t="s">
        <v>291</v>
      </c>
      <c r="I41" s="100" t="s">
        <v>291</v>
      </c>
      <c r="J41" s="102" t="s">
        <v>291</v>
      </c>
      <c r="K41" s="102" t="s">
        <v>291</v>
      </c>
      <c r="L41" s="102" t="s">
        <v>291</v>
      </c>
      <c r="M41" s="102" t="s">
        <v>291</v>
      </c>
      <c r="N41" s="23" t="s">
        <v>291</v>
      </c>
      <c r="O41" s="24" t="s">
        <v>291</v>
      </c>
      <c r="P41" s="24" t="s">
        <v>291</v>
      </c>
      <c r="Q41" s="24" t="s">
        <v>291</v>
      </c>
      <c r="R41" s="24" t="s">
        <v>291</v>
      </c>
      <c r="S41" s="24" t="s">
        <v>291</v>
      </c>
      <c r="T41" s="25" t="s">
        <v>291</v>
      </c>
      <c r="U41" s="18" t="s">
        <v>291</v>
      </c>
      <c r="V41" s="19" t="s">
        <v>291</v>
      </c>
      <c r="W41" s="26" t="s">
        <v>291</v>
      </c>
      <c r="X41" s="20" t="s">
        <v>291</v>
      </c>
      <c r="Y41" s="26" t="s">
        <v>291</v>
      </c>
      <c r="Z41" s="20" t="s">
        <v>291</v>
      </c>
      <c r="AA41" s="26" t="s">
        <v>291</v>
      </c>
      <c r="AB41" s="20" t="s">
        <v>291</v>
      </c>
      <c r="AC41" s="20" t="s">
        <v>291</v>
      </c>
      <c r="AD41" s="26" t="s">
        <v>291</v>
      </c>
      <c r="AE41" s="26" t="s">
        <v>291</v>
      </c>
      <c r="AF41" s="26" t="s">
        <v>291</v>
      </c>
      <c r="AG41" s="26" t="s">
        <v>291</v>
      </c>
      <c r="AH41" s="26" t="s">
        <v>291</v>
      </c>
      <c r="AI41" s="21" t="s">
        <v>291</v>
      </c>
      <c r="AJ41" s="27" t="s">
        <v>291</v>
      </c>
      <c r="AK41" s="27" t="s">
        <v>291</v>
      </c>
      <c r="AL41" s="21" t="s">
        <v>291</v>
      </c>
      <c r="AM41" s="21" t="s">
        <v>291</v>
      </c>
      <c r="AN41" s="27" t="s">
        <v>291</v>
      </c>
      <c r="AO41" s="27" t="s">
        <v>291</v>
      </c>
      <c r="AP41" s="21" t="s">
        <v>291</v>
      </c>
      <c r="AQ41" s="27" t="s">
        <v>291</v>
      </c>
      <c r="AR41" s="21" t="s">
        <v>291</v>
      </c>
      <c r="AS41" s="21" t="s">
        <v>291</v>
      </c>
      <c r="AT41" s="26" t="s">
        <v>291</v>
      </c>
      <c r="AU41" s="26" t="s">
        <v>291</v>
      </c>
      <c r="AV41" s="26" t="s">
        <v>291</v>
      </c>
      <c r="AW41" s="26" t="s">
        <v>291</v>
      </c>
      <c r="AX41" s="26" t="s">
        <v>291</v>
      </c>
      <c r="AY41" s="20" t="s">
        <v>292</v>
      </c>
      <c r="AZ41" s="20"/>
      <c r="BA41" s="20" t="s">
        <v>291</v>
      </c>
      <c r="BB41" s="31" t="s">
        <v>285</v>
      </c>
      <c r="BC41" s="20">
        <v>1</v>
      </c>
      <c r="BD41" s="20">
        <v>1</v>
      </c>
      <c r="BG41" s="136">
        <v>42</v>
      </c>
      <c r="BH41" s="131" t="s">
        <v>98</v>
      </c>
      <c r="BI41" s="131" t="s">
        <v>424</v>
      </c>
      <c r="BJ41" s="132">
        <v>10</v>
      </c>
      <c r="BK41" s="133">
        <v>10</v>
      </c>
      <c r="BL41" s="134"/>
      <c r="BM41" s="134"/>
      <c r="BN41" s="134"/>
      <c r="BO41" s="134"/>
      <c r="BP41">
        <f t="shared" si="0"/>
        <v>40</v>
      </c>
    </row>
    <row r="42" spans="1:68" ht="15.5" x14ac:dyDescent="0.35">
      <c r="A42" t="s">
        <v>264</v>
      </c>
      <c r="B42" s="98" t="s">
        <v>264</v>
      </c>
      <c r="C42" s="99" t="s">
        <v>265</v>
      </c>
      <c r="D42" s="100" t="s">
        <v>291</v>
      </c>
      <c r="E42" s="100" t="s">
        <v>291</v>
      </c>
      <c r="F42" s="100" t="s">
        <v>291</v>
      </c>
      <c r="G42" s="100" t="s">
        <v>291</v>
      </c>
      <c r="H42" s="100" t="s">
        <v>291</v>
      </c>
      <c r="I42" s="100" t="s">
        <v>291</v>
      </c>
      <c r="J42" s="102" t="s">
        <v>291</v>
      </c>
      <c r="K42" s="102" t="s">
        <v>291</v>
      </c>
      <c r="L42" s="102" t="s">
        <v>291</v>
      </c>
      <c r="M42" s="103" t="s">
        <v>285</v>
      </c>
      <c r="N42" s="23" t="s">
        <v>291</v>
      </c>
      <c r="O42" s="24" t="s">
        <v>291</v>
      </c>
      <c r="P42" s="24" t="s">
        <v>291</v>
      </c>
      <c r="Q42" s="24" t="s">
        <v>291</v>
      </c>
      <c r="R42" s="24" t="s">
        <v>291</v>
      </c>
      <c r="S42" s="24" t="s">
        <v>291</v>
      </c>
      <c r="T42" s="25" t="s">
        <v>291</v>
      </c>
      <c r="U42" s="18" t="s">
        <v>291</v>
      </c>
      <c r="V42" s="19" t="s">
        <v>291</v>
      </c>
      <c r="W42" s="29" t="s">
        <v>285</v>
      </c>
      <c r="X42" s="20" t="s">
        <v>291</v>
      </c>
      <c r="Y42" s="26" t="s">
        <v>291</v>
      </c>
      <c r="Z42" s="20" t="s">
        <v>291</v>
      </c>
      <c r="AA42" s="26" t="s">
        <v>291</v>
      </c>
      <c r="AB42" s="20" t="s">
        <v>291</v>
      </c>
      <c r="AC42" s="20" t="s">
        <v>291</v>
      </c>
      <c r="AD42" s="29" t="s">
        <v>285</v>
      </c>
      <c r="AE42" s="26" t="s">
        <v>291</v>
      </c>
      <c r="AF42" s="26" t="s">
        <v>291</v>
      </c>
      <c r="AG42" s="26" t="s">
        <v>291</v>
      </c>
      <c r="AH42" s="26" t="s">
        <v>291</v>
      </c>
      <c r="AI42" s="21" t="s">
        <v>291</v>
      </c>
      <c r="AJ42" s="27" t="s">
        <v>291</v>
      </c>
      <c r="AK42" s="27" t="s">
        <v>291</v>
      </c>
      <c r="AL42" s="21" t="s">
        <v>291</v>
      </c>
      <c r="AM42" s="21" t="s">
        <v>291</v>
      </c>
      <c r="AN42" s="27" t="s">
        <v>291</v>
      </c>
      <c r="AO42" s="27" t="s">
        <v>291</v>
      </c>
      <c r="AP42" s="116" t="s">
        <v>285</v>
      </c>
      <c r="AQ42" s="27" t="s">
        <v>291</v>
      </c>
      <c r="AR42" s="21" t="s">
        <v>291</v>
      </c>
      <c r="AS42" s="21" t="s">
        <v>291</v>
      </c>
      <c r="AT42" s="26" t="s">
        <v>291</v>
      </c>
      <c r="AU42" s="26" t="s">
        <v>291</v>
      </c>
      <c r="AV42" s="26" t="s">
        <v>291</v>
      </c>
      <c r="AW42" s="26" t="s">
        <v>291</v>
      </c>
      <c r="AX42" s="26" t="s">
        <v>291</v>
      </c>
      <c r="AY42" s="20" t="s">
        <v>291</v>
      </c>
      <c r="AZ42" s="20"/>
      <c r="BA42" s="20" t="s">
        <v>291</v>
      </c>
      <c r="BB42" s="29" t="s">
        <v>285</v>
      </c>
      <c r="BC42" s="31">
        <v>6</v>
      </c>
      <c r="BD42" s="20">
        <v>0</v>
      </c>
      <c r="BG42" s="130">
        <v>43</v>
      </c>
      <c r="BH42" s="131" t="s">
        <v>264</v>
      </c>
      <c r="BI42" s="131" t="s">
        <v>265</v>
      </c>
      <c r="BJ42" s="132">
        <v>10</v>
      </c>
      <c r="BK42" s="133">
        <v>10</v>
      </c>
      <c r="BL42" s="132">
        <v>10</v>
      </c>
      <c r="BM42" s="132">
        <v>10</v>
      </c>
      <c r="BN42" s="134"/>
      <c r="BO42" s="134"/>
      <c r="BP42">
        <f t="shared" si="0"/>
        <v>20</v>
      </c>
    </row>
    <row r="43" spans="1:68" ht="15.5" x14ac:dyDescent="0.35">
      <c r="A43" t="s">
        <v>266</v>
      </c>
      <c r="B43" s="98" t="s">
        <v>266</v>
      </c>
      <c r="C43" s="99" t="s">
        <v>102</v>
      </c>
      <c r="D43" s="100" t="s">
        <v>291</v>
      </c>
      <c r="E43" s="100" t="s">
        <v>291</v>
      </c>
      <c r="F43" s="100" t="s">
        <v>291</v>
      </c>
      <c r="G43" s="100" t="s">
        <v>291</v>
      </c>
      <c r="H43" s="100" t="s">
        <v>291</v>
      </c>
      <c r="I43" s="100" t="s">
        <v>291</v>
      </c>
      <c r="J43" s="102" t="s">
        <v>291</v>
      </c>
      <c r="K43" s="102" t="s">
        <v>291</v>
      </c>
      <c r="L43" s="102" t="s">
        <v>291</v>
      </c>
      <c r="M43" s="102" t="s">
        <v>291</v>
      </c>
      <c r="N43" s="23" t="s">
        <v>291</v>
      </c>
      <c r="O43" s="24" t="s">
        <v>291</v>
      </c>
      <c r="P43" s="24" t="s">
        <v>291</v>
      </c>
      <c r="Q43" s="24" t="s">
        <v>291</v>
      </c>
      <c r="R43" s="24" t="s">
        <v>291</v>
      </c>
      <c r="S43" s="24" t="s">
        <v>291</v>
      </c>
      <c r="T43" s="25" t="s">
        <v>291</v>
      </c>
      <c r="U43" s="18" t="s">
        <v>291</v>
      </c>
      <c r="V43" s="19" t="s">
        <v>291</v>
      </c>
      <c r="W43" s="26" t="s">
        <v>291</v>
      </c>
      <c r="X43" s="20" t="s">
        <v>291</v>
      </c>
      <c r="Y43" s="26" t="s">
        <v>291</v>
      </c>
      <c r="Z43" s="20" t="s">
        <v>291</v>
      </c>
      <c r="AA43" s="26" t="s">
        <v>291</v>
      </c>
      <c r="AB43" s="20" t="s">
        <v>291</v>
      </c>
      <c r="AC43" s="20" t="s">
        <v>291</v>
      </c>
      <c r="AD43" s="26" t="s">
        <v>291</v>
      </c>
      <c r="AE43" s="26" t="s">
        <v>291</v>
      </c>
      <c r="AF43" s="26" t="s">
        <v>291</v>
      </c>
      <c r="AG43" s="26" t="s">
        <v>291</v>
      </c>
      <c r="AH43" s="26" t="s">
        <v>291</v>
      </c>
      <c r="AI43" s="21" t="s">
        <v>291</v>
      </c>
      <c r="AJ43" s="27" t="s">
        <v>291</v>
      </c>
      <c r="AK43" s="27" t="s">
        <v>291</v>
      </c>
      <c r="AL43" s="21" t="s">
        <v>291</v>
      </c>
      <c r="AM43" s="21" t="s">
        <v>291</v>
      </c>
      <c r="AN43" s="27" t="s">
        <v>291</v>
      </c>
      <c r="AO43" s="27" t="s">
        <v>291</v>
      </c>
      <c r="AP43" s="21" t="s">
        <v>291</v>
      </c>
      <c r="AQ43" s="27" t="s">
        <v>291</v>
      </c>
      <c r="AR43" s="21" t="s">
        <v>291</v>
      </c>
      <c r="AS43" s="21" t="s">
        <v>291</v>
      </c>
      <c r="AT43" s="26" t="s">
        <v>291</v>
      </c>
      <c r="AU43" s="26" t="s">
        <v>291</v>
      </c>
      <c r="AV43" s="26" t="s">
        <v>291</v>
      </c>
      <c r="AW43" s="26" t="s">
        <v>291</v>
      </c>
      <c r="AX43" s="26" t="s">
        <v>291</v>
      </c>
      <c r="AY43" s="20" t="s">
        <v>291</v>
      </c>
      <c r="AZ43" s="20"/>
      <c r="BA43" s="20" t="s">
        <v>291</v>
      </c>
      <c r="BB43" s="26" t="s">
        <v>291</v>
      </c>
      <c r="BC43" s="20">
        <v>0</v>
      </c>
      <c r="BD43" s="20">
        <v>0</v>
      </c>
      <c r="BG43" s="130">
        <v>44</v>
      </c>
      <c r="BH43" s="131" t="s">
        <v>266</v>
      </c>
      <c r="BI43" s="131" t="s">
        <v>102</v>
      </c>
      <c r="BJ43" s="132">
        <v>10</v>
      </c>
      <c r="BK43" s="133">
        <v>10</v>
      </c>
      <c r="BL43" s="132">
        <v>10</v>
      </c>
      <c r="BM43" s="132">
        <v>10</v>
      </c>
      <c r="BN43" s="134"/>
      <c r="BO43" s="134"/>
      <c r="BP43">
        <f t="shared" si="0"/>
        <v>20</v>
      </c>
    </row>
    <row r="44" spans="1:68" ht="15.5" x14ac:dyDescent="0.35">
      <c r="A44" t="s">
        <v>267</v>
      </c>
      <c r="B44" s="98" t="s">
        <v>267</v>
      </c>
      <c r="C44" s="99" t="s">
        <v>31</v>
      </c>
      <c r="D44" s="100" t="s">
        <v>291</v>
      </c>
      <c r="E44" s="100" t="s">
        <v>291</v>
      </c>
      <c r="F44" s="100" t="s">
        <v>291</v>
      </c>
      <c r="G44" s="100" t="s">
        <v>291</v>
      </c>
      <c r="H44" s="100" t="s">
        <v>291</v>
      </c>
      <c r="I44" s="100" t="s">
        <v>291</v>
      </c>
      <c r="J44" s="102" t="s">
        <v>291</v>
      </c>
      <c r="K44" s="102" t="s">
        <v>291</v>
      </c>
      <c r="L44" s="102" t="s">
        <v>291</v>
      </c>
      <c r="M44" s="102" t="s">
        <v>291</v>
      </c>
      <c r="N44" s="23" t="s">
        <v>291</v>
      </c>
      <c r="O44" s="24" t="s">
        <v>291</v>
      </c>
      <c r="P44" s="24" t="s">
        <v>291</v>
      </c>
      <c r="Q44" s="24" t="s">
        <v>291</v>
      </c>
      <c r="R44" s="24" t="s">
        <v>291</v>
      </c>
      <c r="S44" s="24" t="s">
        <v>291</v>
      </c>
      <c r="T44" s="25" t="s">
        <v>291</v>
      </c>
      <c r="U44" s="18" t="s">
        <v>291</v>
      </c>
      <c r="V44" s="19" t="s">
        <v>291</v>
      </c>
      <c r="W44" s="26" t="s">
        <v>291</v>
      </c>
      <c r="X44" s="20" t="s">
        <v>291</v>
      </c>
      <c r="Y44" s="26" t="s">
        <v>291</v>
      </c>
      <c r="Z44" s="20" t="s">
        <v>291</v>
      </c>
      <c r="AA44" s="26" t="s">
        <v>291</v>
      </c>
      <c r="AB44" s="20" t="s">
        <v>291</v>
      </c>
      <c r="AC44" s="20" t="s">
        <v>291</v>
      </c>
      <c r="AD44" s="26" t="s">
        <v>291</v>
      </c>
      <c r="AE44" s="26" t="s">
        <v>291</v>
      </c>
      <c r="AF44" s="26" t="s">
        <v>291</v>
      </c>
      <c r="AG44" s="26" t="s">
        <v>291</v>
      </c>
      <c r="AH44" s="26" t="s">
        <v>291</v>
      </c>
      <c r="AI44" s="21" t="s">
        <v>291</v>
      </c>
      <c r="AJ44" s="27" t="s">
        <v>291</v>
      </c>
      <c r="AK44" s="27" t="s">
        <v>291</v>
      </c>
      <c r="AL44" s="21" t="s">
        <v>291</v>
      </c>
      <c r="AM44" s="21" t="s">
        <v>291</v>
      </c>
      <c r="AN44" s="27" t="s">
        <v>291</v>
      </c>
      <c r="AO44" s="27" t="s">
        <v>291</v>
      </c>
      <c r="AP44" s="21" t="s">
        <v>291</v>
      </c>
      <c r="AQ44" s="27" t="s">
        <v>291</v>
      </c>
      <c r="AR44" s="21" t="s">
        <v>291</v>
      </c>
      <c r="AS44" s="21" t="s">
        <v>291</v>
      </c>
      <c r="AT44" s="26" t="s">
        <v>291</v>
      </c>
      <c r="AU44" s="26" t="s">
        <v>291</v>
      </c>
      <c r="AV44" s="26" t="s">
        <v>291</v>
      </c>
      <c r="AW44" s="26" t="s">
        <v>291</v>
      </c>
      <c r="AX44" s="26" t="s">
        <v>291</v>
      </c>
      <c r="AY44" s="20" t="s">
        <v>291</v>
      </c>
      <c r="AZ44" s="20"/>
      <c r="BA44" s="20" t="s">
        <v>291</v>
      </c>
      <c r="BB44" s="26" t="s">
        <v>291</v>
      </c>
      <c r="BC44" s="20">
        <v>0</v>
      </c>
      <c r="BD44" s="20">
        <v>0</v>
      </c>
      <c r="BG44" s="130">
        <v>45</v>
      </c>
      <c r="BH44" s="131" t="s">
        <v>267</v>
      </c>
      <c r="BI44" s="131" t="s">
        <v>31</v>
      </c>
      <c r="BJ44" s="132">
        <v>10</v>
      </c>
      <c r="BK44" s="133">
        <v>10</v>
      </c>
      <c r="BL44" s="132">
        <v>10</v>
      </c>
      <c r="BM44" s="132">
        <v>10</v>
      </c>
      <c r="BN44" s="132">
        <v>10</v>
      </c>
      <c r="BO44" s="132">
        <v>10</v>
      </c>
      <c r="BP44" t="str">
        <f t="shared" si="0"/>
        <v/>
      </c>
    </row>
    <row r="45" spans="1:68" ht="15.5" x14ac:dyDescent="0.35">
      <c r="A45" t="s">
        <v>268</v>
      </c>
      <c r="B45" s="98" t="s">
        <v>268</v>
      </c>
      <c r="C45" s="99" t="s">
        <v>269</v>
      </c>
      <c r="D45" s="100" t="s">
        <v>291</v>
      </c>
      <c r="E45" s="100" t="s">
        <v>291</v>
      </c>
      <c r="F45" s="100" t="s">
        <v>291</v>
      </c>
      <c r="G45" s="100" t="s">
        <v>291</v>
      </c>
      <c r="H45" s="100" t="s">
        <v>291</v>
      </c>
      <c r="I45" s="100" t="s">
        <v>291</v>
      </c>
      <c r="J45" s="102" t="s">
        <v>291</v>
      </c>
      <c r="K45" s="102" t="s">
        <v>291</v>
      </c>
      <c r="L45" s="102" t="s">
        <v>291</v>
      </c>
      <c r="M45" s="102" t="s">
        <v>291</v>
      </c>
      <c r="N45" s="23" t="s">
        <v>291</v>
      </c>
      <c r="O45" s="38" t="s">
        <v>285</v>
      </c>
      <c r="P45" s="24" t="s">
        <v>291</v>
      </c>
      <c r="Q45" s="24" t="s">
        <v>291</v>
      </c>
      <c r="R45" s="24" t="s">
        <v>291</v>
      </c>
      <c r="S45" s="24" t="s">
        <v>291</v>
      </c>
      <c r="T45" s="25" t="s">
        <v>291</v>
      </c>
      <c r="U45" s="18" t="s">
        <v>291</v>
      </c>
      <c r="V45" s="19" t="s">
        <v>291</v>
      </c>
      <c r="W45" s="26" t="s">
        <v>291</v>
      </c>
      <c r="X45" s="20" t="s">
        <v>291</v>
      </c>
      <c r="Y45" s="26" t="s">
        <v>291</v>
      </c>
      <c r="Z45" s="31" t="s">
        <v>285</v>
      </c>
      <c r="AA45" s="29" t="s">
        <v>285</v>
      </c>
      <c r="AB45" s="20" t="s">
        <v>291</v>
      </c>
      <c r="AC45" s="20" t="s">
        <v>291</v>
      </c>
      <c r="AD45" s="26" t="s">
        <v>291</v>
      </c>
      <c r="AE45" s="26" t="s">
        <v>291</v>
      </c>
      <c r="AF45" s="26" t="s">
        <v>291</v>
      </c>
      <c r="AG45" s="26" t="s">
        <v>291</v>
      </c>
      <c r="AH45" s="26" t="s">
        <v>291</v>
      </c>
      <c r="AI45" s="21" t="s">
        <v>291</v>
      </c>
      <c r="AJ45" s="27" t="s">
        <v>291</v>
      </c>
      <c r="AK45" s="27" t="s">
        <v>291</v>
      </c>
      <c r="AL45" s="21" t="s">
        <v>291</v>
      </c>
      <c r="AM45" s="21" t="s">
        <v>291</v>
      </c>
      <c r="AN45" s="27" t="s">
        <v>291</v>
      </c>
      <c r="AO45" s="27" t="s">
        <v>291</v>
      </c>
      <c r="AP45" s="116" t="s">
        <v>285</v>
      </c>
      <c r="AQ45" s="27" t="s">
        <v>291</v>
      </c>
      <c r="AR45" s="21" t="s">
        <v>291</v>
      </c>
      <c r="AS45" s="21" t="s">
        <v>291</v>
      </c>
      <c r="AT45" s="26" t="s">
        <v>291</v>
      </c>
      <c r="AU45" s="26" t="s">
        <v>291</v>
      </c>
      <c r="AV45" s="26" t="s">
        <v>291</v>
      </c>
      <c r="AW45" s="26" t="s">
        <v>291</v>
      </c>
      <c r="AX45" s="26" t="s">
        <v>291</v>
      </c>
      <c r="AY45" s="20" t="s">
        <v>291</v>
      </c>
      <c r="AZ45" s="20"/>
      <c r="BA45" s="20" t="s">
        <v>291</v>
      </c>
      <c r="BB45" s="26" t="s">
        <v>291</v>
      </c>
      <c r="BC45" s="31">
        <v>5</v>
      </c>
      <c r="BD45" s="20">
        <v>0</v>
      </c>
      <c r="BG45" s="130">
        <v>46</v>
      </c>
      <c r="BH45" s="131" t="s">
        <v>268</v>
      </c>
      <c r="BI45" s="131" t="s">
        <v>269</v>
      </c>
      <c r="BJ45" s="132">
        <v>10</v>
      </c>
      <c r="BK45" s="133">
        <v>10</v>
      </c>
      <c r="BL45" s="132">
        <v>10</v>
      </c>
      <c r="BM45" s="132">
        <v>10</v>
      </c>
      <c r="BN45" s="132">
        <v>10</v>
      </c>
      <c r="BO45" s="132">
        <v>10</v>
      </c>
      <c r="BP45" t="str">
        <f t="shared" si="0"/>
        <v/>
      </c>
    </row>
    <row r="46" spans="1:68" ht="15.5" x14ac:dyDescent="0.35">
      <c r="A46" t="s">
        <v>270</v>
      </c>
      <c r="B46" s="98" t="s">
        <v>270</v>
      </c>
      <c r="C46" s="99" t="s">
        <v>39</v>
      </c>
      <c r="D46" s="100" t="s">
        <v>291</v>
      </c>
      <c r="E46" s="100" t="s">
        <v>291</v>
      </c>
      <c r="F46" s="100" t="s">
        <v>291</v>
      </c>
      <c r="G46" s="100" t="s">
        <v>291</v>
      </c>
      <c r="H46" s="100" t="s">
        <v>291</v>
      </c>
      <c r="I46" s="100" t="s">
        <v>291</v>
      </c>
      <c r="J46" s="102" t="s">
        <v>291</v>
      </c>
      <c r="K46" s="102" t="s">
        <v>291</v>
      </c>
      <c r="L46" s="102" t="s">
        <v>291</v>
      </c>
      <c r="M46" s="102" t="s">
        <v>291</v>
      </c>
      <c r="N46" s="23" t="s">
        <v>291</v>
      </c>
      <c r="O46" s="24" t="s">
        <v>291</v>
      </c>
      <c r="P46" s="24" t="s">
        <v>291</v>
      </c>
      <c r="Q46" s="24" t="s">
        <v>291</v>
      </c>
      <c r="R46" s="24" t="s">
        <v>291</v>
      </c>
      <c r="S46" s="24" t="s">
        <v>291</v>
      </c>
      <c r="T46" s="60" t="s">
        <v>285</v>
      </c>
      <c r="U46" s="33" t="s">
        <v>285</v>
      </c>
      <c r="V46" s="34" t="s">
        <v>285</v>
      </c>
      <c r="W46" s="26" t="s">
        <v>291</v>
      </c>
      <c r="X46" s="20" t="s">
        <v>291</v>
      </c>
      <c r="Y46" s="26" t="s">
        <v>291</v>
      </c>
      <c r="Z46" s="20" t="s">
        <v>291</v>
      </c>
      <c r="AA46" s="26" t="s">
        <v>291</v>
      </c>
      <c r="AB46" s="20" t="s">
        <v>291</v>
      </c>
      <c r="AC46" s="20" t="s">
        <v>291</v>
      </c>
      <c r="AD46" s="26" t="s">
        <v>291</v>
      </c>
      <c r="AE46" s="26" t="s">
        <v>291</v>
      </c>
      <c r="AF46" s="26" t="s">
        <v>291</v>
      </c>
      <c r="AG46" s="26" t="s">
        <v>291</v>
      </c>
      <c r="AH46" s="26" t="s">
        <v>291</v>
      </c>
      <c r="AI46" s="21" t="s">
        <v>291</v>
      </c>
      <c r="AJ46" s="27" t="s">
        <v>291</v>
      </c>
      <c r="AK46" s="27" t="s">
        <v>291</v>
      </c>
      <c r="AL46" s="21" t="s">
        <v>291</v>
      </c>
      <c r="AM46" s="21" t="s">
        <v>291</v>
      </c>
      <c r="AN46" s="27" t="s">
        <v>291</v>
      </c>
      <c r="AO46" s="27" t="s">
        <v>291</v>
      </c>
      <c r="AP46" s="21" t="s">
        <v>291</v>
      </c>
      <c r="AQ46" s="27" t="s">
        <v>291</v>
      </c>
      <c r="AR46" s="21" t="s">
        <v>291</v>
      </c>
      <c r="AS46" s="21" t="s">
        <v>291</v>
      </c>
      <c r="AT46" s="26" t="s">
        <v>291</v>
      </c>
      <c r="AU46" s="26" t="s">
        <v>291</v>
      </c>
      <c r="AV46" s="26" t="s">
        <v>291</v>
      </c>
      <c r="AW46" s="26" t="s">
        <v>291</v>
      </c>
      <c r="AX46" s="26" t="s">
        <v>291</v>
      </c>
      <c r="AY46" s="20" t="s">
        <v>291</v>
      </c>
      <c r="AZ46" s="20"/>
      <c r="BA46" s="20" t="s">
        <v>291</v>
      </c>
      <c r="BB46" s="26" t="s">
        <v>291</v>
      </c>
      <c r="BC46" s="20">
        <v>3</v>
      </c>
      <c r="BD46" s="20">
        <v>0</v>
      </c>
      <c r="BG46" s="130">
        <v>47</v>
      </c>
      <c r="BH46" s="131" t="s">
        <v>270</v>
      </c>
      <c r="BI46" s="131" t="s">
        <v>39</v>
      </c>
      <c r="BJ46" s="132">
        <v>10</v>
      </c>
      <c r="BK46" s="133">
        <v>10</v>
      </c>
      <c r="BL46" s="132">
        <v>10</v>
      </c>
      <c r="BM46" s="132">
        <v>10</v>
      </c>
      <c r="BN46" s="134"/>
      <c r="BO46" s="134"/>
      <c r="BP46">
        <f t="shared" si="0"/>
        <v>20</v>
      </c>
    </row>
    <row r="47" spans="1:68" ht="15.5" x14ac:dyDescent="0.35">
      <c r="A47" t="s">
        <v>271</v>
      </c>
      <c r="B47" s="98" t="s">
        <v>271</v>
      </c>
      <c r="C47" s="99" t="s">
        <v>272</v>
      </c>
      <c r="D47" s="101" t="s">
        <v>285</v>
      </c>
      <c r="E47" s="100" t="s">
        <v>291</v>
      </c>
      <c r="F47" s="100" t="s">
        <v>291</v>
      </c>
      <c r="G47" s="100" t="s">
        <v>291</v>
      </c>
      <c r="H47" s="100" t="s">
        <v>291</v>
      </c>
      <c r="I47" s="100" t="s">
        <v>291</v>
      </c>
      <c r="J47" s="102" t="s">
        <v>291</v>
      </c>
      <c r="K47" s="103" t="s">
        <v>285</v>
      </c>
      <c r="L47" s="102" t="s">
        <v>291</v>
      </c>
      <c r="M47" s="102" t="s">
        <v>291</v>
      </c>
      <c r="N47" s="23" t="s">
        <v>291</v>
      </c>
      <c r="O47" s="24" t="s">
        <v>291</v>
      </c>
      <c r="P47" s="24" t="s">
        <v>291</v>
      </c>
      <c r="Q47" s="24" t="s">
        <v>291</v>
      </c>
      <c r="R47" s="24" t="s">
        <v>291</v>
      </c>
      <c r="S47" s="24" t="s">
        <v>291</v>
      </c>
      <c r="T47" s="25" t="s">
        <v>291</v>
      </c>
      <c r="U47" s="18" t="s">
        <v>291</v>
      </c>
      <c r="V47" s="19" t="s">
        <v>291</v>
      </c>
      <c r="W47" s="29" t="s">
        <v>285</v>
      </c>
      <c r="X47" s="20" t="s">
        <v>291</v>
      </c>
      <c r="Y47" s="26" t="s">
        <v>291</v>
      </c>
      <c r="Z47" s="20" t="s">
        <v>291</v>
      </c>
      <c r="AA47" s="26" t="s">
        <v>291</v>
      </c>
      <c r="AB47" s="20" t="s">
        <v>291</v>
      </c>
      <c r="AC47" s="20" t="s">
        <v>291</v>
      </c>
      <c r="AD47" s="26" t="s">
        <v>291</v>
      </c>
      <c r="AE47" s="26" t="s">
        <v>291</v>
      </c>
      <c r="AF47" s="26" t="s">
        <v>291</v>
      </c>
      <c r="AG47" s="29" t="s">
        <v>285</v>
      </c>
      <c r="AH47" s="26" t="s">
        <v>291</v>
      </c>
      <c r="AI47" s="21" t="s">
        <v>291</v>
      </c>
      <c r="AJ47" s="27" t="s">
        <v>291</v>
      </c>
      <c r="AK47" s="27" t="s">
        <v>291</v>
      </c>
      <c r="AL47" s="21" t="s">
        <v>291</v>
      </c>
      <c r="AM47" s="21" t="s">
        <v>291</v>
      </c>
      <c r="AN47" s="45" t="s">
        <v>285</v>
      </c>
      <c r="AO47" s="27" t="s">
        <v>291</v>
      </c>
      <c r="AP47" s="21" t="s">
        <v>291</v>
      </c>
      <c r="AQ47" s="27" t="s">
        <v>291</v>
      </c>
      <c r="AR47" s="21" t="s">
        <v>292</v>
      </c>
      <c r="AS47" s="21" t="s">
        <v>291</v>
      </c>
      <c r="AT47" s="29" t="s">
        <v>285</v>
      </c>
      <c r="AU47" s="26" t="s">
        <v>291</v>
      </c>
      <c r="AV47" s="26" t="s">
        <v>292</v>
      </c>
      <c r="AW47" s="26" t="s">
        <v>291</v>
      </c>
      <c r="AX47" s="26" t="s">
        <v>291</v>
      </c>
      <c r="AY47" s="31" t="s">
        <v>285</v>
      </c>
      <c r="AZ47" s="20"/>
      <c r="BA47" s="20" t="s">
        <v>291</v>
      </c>
      <c r="BB47" s="29" t="s">
        <v>285</v>
      </c>
      <c r="BC47" s="31">
        <v>8</v>
      </c>
      <c r="BD47" s="20">
        <v>2</v>
      </c>
      <c r="BG47" s="130">
        <v>48</v>
      </c>
      <c r="BH47" s="131" t="s">
        <v>271</v>
      </c>
      <c r="BI47" s="131" t="s">
        <v>272</v>
      </c>
      <c r="BJ47" s="132">
        <v>10</v>
      </c>
      <c r="BK47" s="133">
        <v>10</v>
      </c>
      <c r="BL47" s="132">
        <v>10</v>
      </c>
      <c r="BM47" s="132">
        <v>10</v>
      </c>
      <c r="BN47" s="134"/>
      <c r="BO47" s="134"/>
      <c r="BP47">
        <f t="shared" si="0"/>
        <v>20</v>
      </c>
    </row>
    <row r="48" spans="1:68" ht="15.5" x14ac:dyDescent="0.35">
      <c r="A48" t="s">
        <v>273</v>
      </c>
      <c r="B48" s="98" t="s">
        <v>273</v>
      </c>
      <c r="C48" s="99" t="s">
        <v>274</v>
      </c>
      <c r="D48" s="101" t="s">
        <v>285</v>
      </c>
      <c r="E48" s="100" t="s">
        <v>291</v>
      </c>
      <c r="F48" s="100" t="s">
        <v>291</v>
      </c>
      <c r="G48" s="100" t="s">
        <v>291</v>
      </c>
      <c r="H48" s="100" t="s">
        <v>291</v>
      </c>
      <c r="I48" s="100" t="s">
        <v>291</v>
      </c>
      <c r="J48" s="102" t="s">
        <v>291</v>
      </c>
      <c r="K48" s="102" t="s">
        <v>291</v>
      </c>
      <c r="L48" s="102" t="s">
        <v>291</v>
      </c>
      <c r="M48" s="102" t="s">
        <v>292</v>
      </c>
      <c r="N48" s="28" t="s">
        <v>285</v>
      </c>
      <c r="O48" s="28" t="s">
        <v>285</v>
      </c>
      <c r="P48" s="24" t="s">
        <v>291</v>
      </c>
      <c r="Q48" s="24" t="s">
        <v>291</v>
      </c>
      <c r="R48" s="24" t="s">
        <v>291</v>
      </c>
      <c r="S48" s="24" t="s">
        <v>291</v>
      </c>
      <c r="T48" s="25" t="s">
        <v>291</v>
      </c>
      <c r="U48" s="18" t="s">
        <v>292</v>
      </c>
      <c r="V48" s="19" t="s">
        <v>291</v>
      </c>
      <c r="W48" s="29" t="s">
        <v>285</v>
      </c>
      <c r="X48" s="20" t="s">
        <v>291</v>
      </c>
      <c r="Y48" s="29" t="s">
        <v>285</v>
      </c>
      <c r="Z48" s="20" t="s">
        <v>291</v>
      </c>
      <c r="AA48" s="29" t="s">
        <v>285</v>
      </c>
      <c r="AB48" s="31" t="s">
        <v>285</v>
      </c>
      <c r="AC48" s="31" t="s">
        <v>285</v>
      </c>
      <c r="AD48" s="26" t="s">
        <v>291</v>
      </c>
      <c r="AE48" s="26" t="s">
        <v>291</v>
      </c>
      <c r="AF48" s="26" t="s">
        <v>291</v>
      </c>
      <c r="AG48" s="26" t="s">
        <v>291</v>
      </c>
      <c r="AH48" s="26" t="s">
        <v>291</v>
      </c>
      <c r="AI48" s="21" t="s">
        <v>291</v>
      </c>
      <c r="AJ48" s="45" t="s">
        <v>285</v>
      </c>
      <c r="AK48" s="27" t="s">
        <v>291</v>
      </c>
      <c r="AL48" s="21" t="s">
        <v>291</v>
      </c>
      <c r="AM48" s="21" t="s">
        <v>291</v>
      </c>
      <c r="AN48" s="45" t="s">
        <v>285</v>
      </c>
      <c r="AO48" s="27" t="s">
        <v>291</v>
      </c>
      <c r="AP48" s="116" t="s">
        <v>285</v>
      </c>
      <c r="AQ48" s="45" t="s">
        <v>285</v>
      </c>
      <c r="AR48" s="45" t="s">
        <v>285</v>
      </c>
      <c r="AS48" s="21" t="s">
        <v>291</v>
      </c>
      <c r="AT48" s="26" t="s">
        <v>291</v>
      </c>
      <c r="AU48" s="26" t="s">
        <v>291</v>
      </c>
      <c r="AV48" s="26" t="s">
        <v>291</v>
      </c>
      <c r="AW48" s="26" t="s">
        <v>291</v>
      </c>
      <c r="AX48" s="26" t="s">
        <v>291</v>
      </c>
      <c r="AY48" s="20" t="s">
        <v>291</v>
      </c>
      <c r="AZ48" s="20"/>
      <c r="BA48" s="20" t="s">
        <v>291</v>
      </c>
      <c r="BB48" s="26" t="s">
        <v>291</v>
      </c>
      <c r="BC48" s="31">
        <v>14</v>
      </c>
      <c r="BD48" s="20">
        <v>2</v>
      </c>
      <c r="BG48" s="136">
        <v>49</v>
      </c>
      <c r="BH48" s="131" t="s">
        <v>273</v>
      </c>
      <c r="BI48" s="131" t="s">
        <v>425</v>
      </c>
      <c r="BJ48" s="132">
        <v>10</v>
      </c>
      <c r="BK48" s="133">
        <v>10</v>
      </c>
      <c r="BL48" s="134"/>
      <c r="BM48" s="134"/>
      <c r="BN48" s="134"/>
      <c r="BO48" s="134"/>
      <c r="BP48">
        <f t="shared" si="0"/>
        <v>40</v>
      </c>
    </row>
    <row r="49" spans="1:68" ht="15.5" x14ac:dyDescent="0.35">
      <c r="A49" t="s">
        <v>200</v>
      </c>
      <c r="B49" s="98" t="s">
        <v>200</v>
      </c>
      <c r="C49" s="99" t="s">
        <v>275</v>
      </c>
      <c r="D49" s="100" t="s">
        <v>291</v>
      </c>
      <c r="E49" s="100" t="s">
        <v>291</v>
      </c>
      <c r="F49" s="100" t="s">
        <v>291</v>
      </c>
      <c r="G49" s="100" t="s">
        <v>291</v>
      </c>
      <c r="H49" s="100" t="s">
        <v>291</v>
      </c>
      <c r="I49" s="100" t="s">
        <v>291</v>
      </c>
      <c r="J49" s="102" t="s">
        <v>291</v>
      </c>
      <c r="K49" s="102" t="s">
        <v>291</v>
      </c>
      <c r="L49" s="102" t="s">
        <v>291</v>
      </c>
      <c r="M49" s="102" t="s">
        <v>291</v>
      </c>
      <c r="N49" s="23" t="s">
        <v>291</v>
      </c>
      <c r="O49" s="15" t="s">
        <v>291</v>
      </c>
      <c r="P49" s="24" t="s">
        <v>291</v>
      </c>
      <c r="Q49" s="24" t="s">
        <v>291</v>
      </c>
      <c r="R49" s="24" t="s">
        <v>291</v>
      </c>
      <c r="S49" s="24" t="s">
        <v>291</v>
      </c>
      <c r="T49" s="25" t="s">
        <v>291</v>
      </c>
      <c r="U49" s="18" t="s">
        <v>291</v>
      </c>
      <c r="V49" s="19" t="s">
        <v>291</v>
      </c>
      <c r="W49" s="26" t="s">
        <v>291</v>
      </c>
      <c r="X49" s="20" t="s">
        <v>291</v>
      </c>
      <c r="Y49" s="26" t="s">
        <v>291</v>
      </c>
      <c r="Z49" s="20" t="s">
        <v>291</v>
      </c>
      <c r="AA49" s="26" t="s">
        <v>291</v>
      </c>
      <c r="AB49" s="20" t="s">
        <v>291</v>
      </c>
      <c r="AC49" s="20" t="s">
        <v>291</v>
      </c>
      <c r="AD49" s="26" t="s">
        <v>291</v>
      </c>
      <c r="AE49" s="26" t="s">
        <v>291</v>
      </c>
      <c r="AF49" s="26" t="s">
        <v>291</v>
      </c>
      <c r="AG49" s="26" t="s">
        <v>291</v>
      </c>
      <c r="AH49" s="26" t="s">
        <v>291</v>
      </c>
      <c r="AI49" s="21" t="s">
        <v>291</v>
      </c>
      <c r="AJ49" s="27" t="s">
        <v>291</v>
      </c>
      <c r="AK49" s="27" t="s">
        <v>291</v>
      </c>
      <c r="AL49" s="21" t="s">
        <v>291</v>
      </c>
      <c r="AM49" s="21" t="s">
        <v>291</v>
      </c>
      <c r="AN49" s="27" t="s">
        <v>291</v>
      </c>
      <c r="AO49" s="27" t="s">
        <v>291</v>
      </c>
      <c r="AP49" s="21" t="s">
        <v>291</v>
      </c>
      <c r="AQ49" s="27" t="s">
        <v>291</v>
      </c>
      <c r="AR49" s="21" t="s">
        <v>291</v>
      </c>
      <c r="AS49" s="21" t="s">
        <v>291</v>
      </c>
      <c r="AT49" s="26" t="s">
        <v>291</v>
      </c>
      <c r="AU49" s="26" t="s">
        <v>291</v>
      </c>
      <c r="AV49" s="26" t="s">
        <v>291</v>
      </c>
      <c r="AW49" s="26" t="s">
        <v>291</v>
      </c>
      <c r="AX49" s="26" t="s">
        <v>291</v>
      </c>
      <c r="AY49" s="20" t="s">
        <v>291</v>
      </c>
      <c r="AZ49" s="20"/>
      <c r="BA49" s="20" t="s">
        <v>291</v>
      </c>
      <c r="BB49" s="26" t="s">
        <v>291</v>
      </c>
      <c r="BC49" s="20">
        <v>0</v>
      </c>
      <c r="BD49" s="20">
        <v>0</v>
      </c>
      <c r="BG49" s="130">
        <v>50</v>
      </c>
      <c r="BH49" s="131" t="s">
        <v>200</v>
      </c>
      <c r="BI49" s="131" t="s">
        <v>275</v>
      </c>
      <c r="BJ49" s="132">
        <v>10</v>
      </c>
      <c r="BK49" s="133">
        <v>10</v>
      </c>
      <c r="BL49" s="132">
        <v>10</v>
      </c>
      <c r="BM49" s="132">
        <v>10</v>
      </c>
      <c r="BN49" s="134"/>
      <c r="BO49" s="134"/>
      <c r="BP49">
        <f t="shared" si="0"/>
        <v>20</v>
      </c>
    </row>
    <row r="50" spans="1:68" ht="15.5" x14ac:dyDescent="0.35">
      <c r="A50" t="s">
        <v>276</v>
      </c>
      <c r="B50" s="98" t="s">
        <v>276</v>
      </c>
      <c r="C50" s="99" t="s">
        <v>46</v>
      </c>
      <c r="D50" s="100" t="s">
        <v>291</v>
      </c>
      <c r="E50" s="100" t="s">
        <v>291</v>
      </c>
      <c r="F50" s="100" t="s">
        <v>291</v>
      </c>
      <c r="G50" s="100" t="s">
        <v>291</v>
      </c>
      <c r="H50" s="100" t="s">
        <v>291</v>
      </c>
      <c r="I50" s="100" t="s">
        <v>291</v>
      </c>
      <c r="J50" s="102" t="s">
        <v>291</v>
      </c>
      <c r="K50" s="102" t="s">
        <v>291</v>
      </c>
      <c r="L50" s="102" t="s">
        <v>291</v>
      </c>
      <c r="M50" s="102" t="s">
        <v>291</v>
      </c>
      <c r="N50" s="23" t="s">
        <v>291</v>
      </c>
      <c r="O50" s="15" t="s">
        <v>291</v>
      </c>
      <c r="P50" s="24" t="s">
        <v>291</v>
      </c>
      <c r="Q50" s="24" t="s">
        <v>291</v>
      </c>
      <c r="R50" s="24" t="s">
        <v>291</v>
      </c>
      <c r="S50" s="24" t="s">
        <v>291</v>
      </c>
      <c r="T50" s="25" t="s">
        <v>291</v>
      </c>
      <c r="U50" s="18" t="s">
        <v>291</v>
      </c>
      <c r="V50" s="19" t="s">
        <v>291</v>
      </c>
      <c r="W50" s="26" t="s">
        <v>291</v>
      </c>
      <c r="X50" s="20" t="s">
        <v>291</v>
      </c>
      <c r="Y50" s="26" t="s">
        <v>291</v>
      </c>
      <c r="Z50" s="20" t="s">
        <v>291</v>
      </c>
      <c r="AA50" s="26" t="s">
        <v>291</v>
      </c>
      <c r="AB50" s="20" t="s">
        <v>291</v>
      </c>
      <c r="AC50" s="20" t="s">
        <v>291</v>
      </c>
      <c r="AD50" s="26" t="s">
        <v>291</v>
      </c>
      <c r="AE50" s="26" t="s">
        <v>291</v>
      </c>
      <c r="AF50" s="26" t="s">
        <v>291</v>
      </c>
      <c r="AG50" s="26" t="s">
        <v>291</v>
      </c>
      <c r="AH50" s="26" t="s">
        <v>291</v>
      </c>
      <c r="AI50" s="21" t="s">
        <v>291</v>
      </c>
      <c r="AJ50" s="27" t="s">
        <v>291</v>
      </c>
      <c r="AK50" s="27" t="s">
        <v>291</v>
      </c>
      <c r="AL50" s="21" t="s">
        <v>291</v>
      </c>
      <c r="AM50" s="21" t="s">
        <v>291</v>
      </c>
      <c r="AN50" s="27" t="s">
        <v>291</v>
      </c>
      <c r="AO50" s="27" t="s">
        <v>291</v>
      </c>
      <c r="AP50" s="116" t="s">
        <v>285</v>
      </c>
      <c r="AQ50" s="27" t="s">
        <v>291</v>
      </c>
      <c r="AR50" s="21" t="s">
        <v>291</v>
      </c>
      <c r="AS50" s="45" t="s">
        <v>285</v>
      </c>
      <c r="AT50" s="26" t="s">
        <v>291</v>
      </c>
      <c r="AU50" s="26" t="s">
        <v>291</v>
      </c>
      <c r="AV50" s="26" t="s">
        <v>291</v>
      </c>
      <c r="AW50" s="26" t="s">
        <v>291</v>
      </c>
      <c r="AX50" s="26" t="s">
        <v>291</v>
      </c>
      <c r="AY50" s="20" t="s">
        <v>291</v>
      </c>
      <c r="AZ50" s="20"/>
      <c r="BA50" s="20" t="s">
        <v>291</v>
      </c>
      <c r="BB50" s="26" t="s">
        <v>291</v>
      </c>
      <c r="BC50" s="20">
        <v>2</v>
      </c>
      <c r="BD50" s="20">
        <v>0</v>
      </c>
      <c r="BG50" s="130">
        <v>51</v>
      </c>
      <c r="BH50" s="131" t="s">
        <v>276</v>
      </c>
      <c r="BI50" s="131" t="s">
        <v>46</v>
      </c>
      <c r="BJ50" s="132">
        <v>10</v>
      </c>
      <c r="BK50" s="133">
        <v>10</v>
      </c>
      <c r="BL50" s="132">
        <v>10</v>
      </c>
      <c r="BM50" s="132">
        <v>10</v>
      </c>
      <c r="BN50" s="132">
        <v>10</v>
      </c>
      <c r="BO50" s="132">
        <v>10</v>
      </c>
      <c r="BP50" t="str">
        <f t="shared" si="0"/>
        <v/>
      </c>
    </row>
    <row r="51" spans="1:68" ht="15.5" x14ac:dyDescent="0.35">
      <c r="A51" t="s">
        <v>277</v>
      </c>
      <c r="B51" s="98" t="s">
        <v>277</v>
      </c>
      <c r="C51" s="99" t="s">
        <v>278</v>
      </c>
      <c r="D51" s="100" t="s">
        <v>291</v>
      </c>
      <c r="E51" s="100" t="s">
        <v>291</v>
      </c>
      <c r="F51" s="100" t="s">
        <v>291</v>
      </c>
      <c r="G51" s="100" t="s">
        <v>291</v>
      </c>
      <c r="H51" s="101" t="s">
        <v>285</v>
      </c>
      <c r="I51" s="100" t="s">
        <v>291</v>
      </c>
      <c r="J51" s="102" t="s">
        <v>291</v>
      </c>
      <c r="K51" s="102" t="s">
        <v>291</v>
      </c>
      <c r="L51" s="102" t="s">
        <v>291</v>
      </c>
      <c r="M51" s="103" t="s">
        <v>285</v>
      </c>
      <c r="N51" s="23" t="s">
        <v>291</v>
      </c>
      <c r="O51" s="15" t="s">
        <v>291</v>
      </c>
      <c r="P51" s="24" t="s">
        <v>291</v>
      </c>
      <c r="Q51" s="24" t="s">
        <v>291</v>
      </c>
      <c r="R51" s="38" t="s">
        <v>285</v>
      </c>
      <c r="S51" s="24" t="s">
        <v>291</v>
      </c>
      <c r="T51" s="25" t="s">
        <v>291</v>
      </c>
      <c r="U51" s="18" t="s">
        <v>291</v>
      </c>
      <c r="V51" s="19" t="s">
        <v>291</v>
      </c>
      <c r="W51" s="29" t="s">
        <v>285</v>
      </c>
      <c r="X51" s="20" t="s">
        <v>291</v>
      </c>
      <c r="Y51" s="26" t="s">
        <v>291</v>
      </c>
      <c r="Z51" s="20" t="s">
        <v>291</v>
      </c>
      <c r="AA51" s="26" t="s">
        <v>291</v>
      </c>
      <c r="AB51" s="20" t="s">
        <v>291</v>
      </c>
      <c r="AC51" s="20" t="s">
        <v>291</v>
      </c>
      <c r="AD51" s="26" t="s">
        <v>291</v>
      </c>
      <c r="AE51" s="26" t="s">
        <v>291</v>
      </c>
      <c r="AF51" s="26" t="s">
        <v>291</v>
      </c>
      <c r="AG51" s="26" t="s">
        <v>291</v>
      </c>
      <c r="AH51" s="26" t="s">
        <v>291</v>
      </c>
      <c r="AI51" s="21" t="s">
        <v>291</v>
      </c>
      <c r="AJ51" s="27" t="s">
        <v>291</v>
      </c>
      <c r="AK51" s="27" t="s">
        <v>291</v>
      </c>
      <c r="AL51" s="116" t="s">
        <v>285</v>
      </c>
      <c r="AM51" s="21" t="s">
        <v>291</v>
      </c>
      <c r="AN51" s="27" t="s">
        <v>291</v>
      </c>
      <c r="AO51" s="27" t="s">
        <v>291</v>
      </c>
      <c r="AP51" s="21" t="s">
        <v>291</v>
      </c>
      <c r="AQ51" s="27" t="s">
        <v>291</v>
      </c>
      <c r="AR51" s="21" t="s">
        <v>291</v>
      </c>
      <c r="AS51" s="45" t="s">
        <v>285</v>
      </c>
      <c r="AT51" s="26" t="s">
        <v>291</v>
      </c>
      <c r="AU51" s="26" t="s">
        <v>291</v>
      </c>
      <c r="AV51" s="26" t="s">
        <v>291</v>
      </c>
      <c r="AW51" s="26" t="s">
        <v>291</v>
      </c>
      <c r="AX51" s="26" t="s">
        <v>291</v>
      </c>
      <c r="AY51" s="20" t="s">
        <v>291</v>
      </c>
      <c r="AZ51" s="20"/>
      <c r="BA51" s="20" t="s">
        <v>291</v>
      </c>
      <c r="BB51" s="26" t="s">
        <v>291</v>
      </c>
      <c r="BC51" s="31">
        <v>7</v>
      </c>
      <c r="BD51" s="20">
        <v>0</v>
      </c>
      <c r="BG51" s="130">
        <v>52</v>
      </c>
      <c r="BH51" s="131" t="s">
        <v>277</v>
      </c>
      <c r="BI51" s="131" t="s">
        <v>278</v>
      </c>
      <c r="BJ51" s="132">
        <v>10</v>
      </c>
      <c r="BK51" s="133">
        <v>10</v>
      </c>
      <c r="BL51" s="132">
        <v>10</v>
      </c>
      <c r="BM51" s="132">
        <v>10</v>
      </c>
      <c r="BN51" s="134"/>
      <c r="BO51" s="134"/>
      <c r="BP51">
        <f t="shared" si="0"/>
        <v>20</v>
      </c>
    </row>
    <row r="52" spans="1:68" ht="15.5" x14ac:dyDescent="0.35">
      <c r="A52" t="s">
        <v>270</v>
      </c>
      <c r="B52" s="98" t="s">
        <v>270</v>
      </c>
      <c r="C52" s="99" t="s">
        <v>117</v>
      </c>
      <c r="D52" s="118" t="s">
        <v>291</v>
      </c>
      <c r="E52" s="118" t="s">
        <v>291</v>
      </c>
      <c r="F52" s="118" t="s">
        <v>291</v>
      </c>
      <c r="G52" s="118" t="s">
        <v>291</v>
      </c>
      <c r="H52" s="118" t="s">
        <v>291</v>
      </c>
      <c r="I52" s="118" t="s">
        <v>291</v>
      </c>
      <c r="J52" s="105" t="s">
        <v>291</v>
      </c>
      <c r="K52" s="102" t="s">
        <v>291</v>
      </c>
      <c r="L52" s="102" t="s">
        <v>291</v>
      </c>
      <c r="M52" s="105" t="s">
        <v>291</v>
      </c>
      <c r="N52" s="119" t="s">
        <v>291</v>
      </c>
      <c r="O52" s="69" t="s">
        <v>291</v>
      </c>
      <c r="P52" s="71" t="s">
        <v>291</v>
      </c>
      <c r="Q52" s="71" t="s">
        <v>291</v>
      </c>
      <c r="R52" s="24" t="s">
        <v>291</v>
      </c>
      <c r="S52" s="24" t="s">
        <v>291</v>
      </c>
      <c r="T52" s="72" t="s">
        <v>292</v>
      </c>
      <c r="U52" s="18" t="s">
        <v>291</v>
      </c>
      <c r="V52" s="19" t="s">
        <v>291</v>
      </c>
      <c r="W52" s="62" t="s">
        <v>291</v>
      </c>
      <c r="X52" s="20" t="s">
        <v>291</v>
      </c>
      <c r="Y52" s="26" t="s">
        <v>291</v>
      </c>
      <c r="Z52" s="20" t="s">
        <v>291</v>
      </c>
      <c r="AA52" s="29" t="s">
        <v>285</v>
      </c>
      <c r="AB52" s="31" t="s">
        <v>285</v>
      </c>
      <c r="AC52" s="31" t="s">
        <v>285</v>
      </c>
      <c r="AD52" s="26" t="s">
        <v>291</v>
      </c>
      <c r="AE52" s="62" t="s">
        <v>292</v>
      </c>
      <c r="AF52" s="26" t="s">
        <v>291</v>
      </c>
      <c r="AG52" s="62" t="s">
        <v>291</v>
      </c>
      <c r="AH52" s="62" t="s">
        <v>291</v>
      </c>
      <c r="AI52" s="21" t="s">
        <v>291</v>
      </c>
      <c r="AJ52" s="66" t="s">
        <v>292</v>
      </c>
      <c r="AK52" s="27" t="s">
        <v>291</v>
      </c>
      <c r="AL52" s="21" t="s">
        <v>291</v>
      </c>
      <c r="AM52" s="21" t="s">
        <v>291</v>
      </c>
      <c r="AN52" s="66" t="s">
        <v>291</v>
      </c>
      <c r="AO52" s="66" t="s">
        <v>291</v>
      </c>
      <c r="AP52" s="116" t="s">
        <v>285</v>
      </c>
      <c r="AQ52" s="116" t="s">
        <v>285</v>
      </c>
      <c r="AR52" s="21" t="s">
        <v>291</v>
      </c>
      <c r="AS52" s="27" t="s">
        <v>291</v>
      </c>
      <c r="AT52" s="26" t="s">
        <v>291</v>
      </c>
      <c r="AU52" s="62" t="s">
        <v>291</v>
      </c>
      <c r="AV52" s="26" t="s">
        <v>291</v>
      </c>
      <c r="AW52" s="62" t="s">
        <v>291</v>
      </c>
      <c r="AX52" s="62" t="s">
        <v>291</v>
      </c>
      <c r="AY52" s="20" t="s">
        <v>291</v>
      </c>
      <c r="AZ52" s="20"/>
      <c r="BA52" s="20" t="s">
        <v>291</v>
      </c>
      <c r="BB52" s="29" t="s">
        <v>285</v>
      </c>
      <c r="BC52" s="31">
        <v>6</v>
      </c>
      <c r="BD52" s="20">
        <v>3</v>
      </c>
      <c r="BG52" s="130">
        <v>53</v>
      </c>
      <c r="BH52" s="131" t="s">
        <v>270</v>
      </c>
      <c r="BI52" s="131" t="s">
        <v>117</v>
      </c>
      <c r="BJ52" s="132">
        <v>10</v>
      </c>
      <c r="BK52" s="133">
        <v>10</v>
      </c>
      <c r="BL52" s="132">
        <v>10</v>
      </c>
      <c r="BM52" s="132">
        <v>10</v>
      </c>
      <c r="BN52" s="134"/>
      <c r="BO52" s="134"/>
      <c r="BP52">
        <f t="shared" si="0"/>
        <v>20</v>
      </c>
    </row>
    <row r="53" spans="1:68" ht="15.5" x14ac:dyDescent="0.35">
      <c r="A53" t="s">
        <v>279</v>
      </c>
      <c r="B53" s="98" t="s">
        <v>279</v>
      </c>
      <c r="C53" s="99" t="s">
        <v>280</v>
      </c>
      <c r="D53" s="120" t="s">
        <v>285</v>
      </c>
      <c r="E53" s="121" t="s">
        <v>291</v>
      </c>
      <c r="F53" s="121" t="s">
        <v>291</v>
      </c>
      <c r="G53" s="121" t="s">
        <v>291</v>
      </c>
      <c r="H53" s="121" t="s">
        <v>291</v>
      </c>
      <c r="I53" s="121" t="s">
        <v>292</v>
      </c>
      <c r="J53" s="15" t="s">
        <v>291</v>
      </c>
      <c r="K53" s="102" t="s">
        <v>291</v>
      </c>
      <c r="L53" s="102" t="s">
        <v>291</v>
      </c>
      <c r="M53" s="32" t="s">
        <v>285</v>
      </c>
      <c r="N53" s="15" t="s">
        <v>291</v>
      </c>
      <c r="O53" s="32" t="s">
        <v>285</v>
      </c>
      <c r="P53" s="32" t="s">
        <v>285</v>
      </c>
      <c r="Q53" s="32" t="s">
        <v>285</v>
      </c>
      <c r="R53" s="32" t="s">
        <v>285</v>
      </c>
      <c r="S53" s="24" t="s">
        <v>291</v>
      </c>
      <c r="T53" s="106" t="s">
        <v>291</v>
      </c>
      <c r="U53" s="18" t="s">
        <v>291</v>
      </c>
      <c r="V53" s="19" t="s">
        <v>291</v>
      </c>
      <c r="W53" s="107" t="s">
        <v>285</v>
      </c>
      <c r="X53" s="20" t="s">
        <v>291</v>
      </c>
      <c r="Y53" s="26" t="s">
        <v>291</v>
      </c>
      <c r="Z53" s="31" t="s">
        <v>285</v>
      </c>
      <c r="AA53" s="26" t="s">
        <v>291</v>
      </c>
      <c r="AB53" s="20" t="s">
        <v>291</v>
      </c>
      <c r="AC53" s="20" t="s">
        <v>291</v>
      </c>
      <c r="AD53" s="26" t="s">
        <v>291</v>
      </c>
      <c r="AE53" s="35" t="s">
        <v>292</v>
      </c>
      <c r="AF53" s="35" t="s">
        <v>291</v>
      </c>
      <c r="AG53" s="35" t="s">
        <v>291</v>
      </c>
      <c r="AH53" s="35" t="s">
        <v>291</v>
      </c>
      <c r="AI53" s="116" t="s">
        <v>285</v>
      </c>
      <c r="AJ53" s="81" t="s">
        <v>292</v>
      </c>
      <c r="AK53" s="27" t="s">
        <v>291</v>
      </c>
      <c r="AL53" s="21" t="s">
        <v>292</v>
      </c>
      <c r="AM53" s="21" t="s">
        <v>291</v>
      </c>
      <c r="AN53" s="90" t="s">
        <v>285</v>
      </c>
      <c r="AO53" s="81" t="s">
        <v>291</v>
      </c>
      <c r="AP53" s="21" t="s">
        <v>291</v>
      </c>
      <c r="AQ53" s="81" t="s">
        <v>291</v>
      </c>
      <c r="AR53" s="116" t="s">
        <v>285</v>
      </c>
      <c r="AS53" s="27" t="s">
        <v>291</v>
      </c>
      <c r="AT53" s="26" t="s">
        <v>291</v>
      </c>
      <c r="AU53" s="35" t="s">
        <v>291</v>
      </c>
      <c r="AV53" s="26" t="s">
        <v>291</v>
      </c>
      <c r="AW53" s="35" t="s">
        <v>292</v>
      </c>
      <c r="AX53" s="35" t="s">
        <v>291</v>
      </c>
      <c r="AY53" s="31" t="s">
        <v>285</v>
      </c>
      <c r="AZ53" s="20"/>
      <c r="BA53" s="20" t="s">
        <v>291</v>
      </c>
      <c r="BB53" s="29" t="s">
        <v>285</v>
      </c>
      <c r="BC53" s="31">
        <v>13</v>
      </c>
      <c r="BD53" s="31">
        <v>5</v>
      </c>
      <c r="BG53" s="130">
        <v>55</v>
      </c>
      <c r="BH53" s="139" t="s">
        <v>279</v>
      </c>
      <c r="BI53" s="139" t="s">
        <v>280</v>
      </c>
      <c r="BJ53" s="132">
        <v>10</v>
      </c>
      <c r="BK53" s="133">
        <v>10</v>
      </c>
      <c r="BL53" s="132">
        <v>10</v>
      </c>
      <c r="BM53" s="132">
        <v>10</v>
      </c>
      <c r="BN53" s="134"/>
      <c r="BO53" s="134"/>
      <c r="BP53">
        <f t="shared" si="0"/>
        <v>20</v>
      </c>
    </row>
    <row r="54" spans="1:68" ht="15.5" x14ac:dyDescent="0.35">
      <c r="A54" t="s">
        <v>98</v>
      </c>
      <c r="B54" s="98" t="s">
        <v>98</v>
      </c>
      <c r="C54" s="99" t="s">
        <v>281</v>
      </c>
      <c r="D54" s="100" t="s">
        <v>291</v>
      </c>
      <c r="E54" s="100" t="s">
        <v>291</v>
      </c>
      <c r="F54" s="100" t="s">
        <v>291</v>
      </c>
      <c r="G54" s="100" t="s">
        <v>291</v>
      </c>
      <c r="H54" s="100" t="s">
        <v>291</v>
      </c>
      <c r="I54" s="100" t="s">
        <v>291</v>
      </c>
      <c r="J54" s="102" t="s">
        <v>291</v>
      </c>
      <c r="K54" s="102" t="s">
        <v>291</v>
      </c>
      <c r="L54" s="102" t="s">
        <v>291</v>
      </c>
      <c r="M54" s="102" t="s">
        <v>291</v>
      </c>
      <c r="N54" s="23" t="s">
        <v>291</v>
      </c>
      <c r="O54" s="15" t="s">
        <v>291</v>
      </c>
      <c r="P54" s="15" t="s">
        <v>291</v>
      </c>
      <c r="Q54" s="15" t="s">
        <v>291</v>
      </c>
      <c r="R54" s="15" t="s">
        <v>291</v>
      </c>
      <c r="S54" s="24" t="s">
        <v>291</v>
      </c>
      <c r="T54" s="106" t="s">
        <v>291</v>
      </c>
      <c r="U54" s="18" t="s">
        <v>291</v>
      </c>
      <c r="V54" s="19" t="s">
        <v>291</v>
      </c>
      <c r="W54" s="35" t="s">
        <v>291</v>
      </c>
      <c r="X54" s="20" t="s">
        <v>291</v>
      </c>
      <c r="Y54" s="26" t="s">
        <v>291</v>
      </c>
      <c r="Z54" s="20" t="s">
        <v>291</v>
      </c>
      <c r="AA54" s="26" t="s">
        <v>291</v>
      </c>
      <c r="AB54" s="20" t="s">
        <v>291</v>
      </c>
      <c r="AC54" s="75" t="s">
        <v>291</v>
      </c>
      <c r="AD54" s="26" t="s">
        <v>291</v>
      </c>
      <c r="AE54" s="35" t="s">
        <v>291</v>
      </c>
      <c r="AF54" s="75" t="s">
        <v>291</v>
      </c>
      <c r="AG54" s="35" t="s">
        <v>291</v>
      </c>
      <c r="AH54" s="35" t="s">
        <v>291</v>
      </c>
      <c r="AI54" s="21" t="s">
        <v>291</v>
      </c>
      <c r="AJ54" s="81" t="s">
        <v>291</v>
      </c>
      <c r="AK54" s="27" t="s">
        <v>291</v>
      </c>
      <c r="AL54" s="21" t="s">
        <v>291</v>
      </c>
      <c r="AM54" s="21" t="s">
        <v>291</v>
      </c>
      <c r="AN54" s="81" t="s">
        <v>291</v>
      </c>
      <c r="AO54" s="81" t="s">
        <v>291</v>
      </c>
      <c r="AP54" s="21" t="s">
        <v>291</v>
      </c>
      <c r="AQ54" s="81" t="s">
        <v>291</v>
      </c>
      <c r="AR54" s="21" t="s">
        <v>291</v>
      </c>
      <c r="AS54" s="27" t="s">
        <v>291</v>
      </c>
      <c r="AT54" s="26" t="s">
        <v>291</v>
      </c>
      <c r="AU54" s="35" t="s">
        <v>291</v>
      </c>
      <c r="AV54" s="26" t="s">
        <v>291</v>
      </c>
      <c r="AW54" s="35" t="s">
        <v>291</v>
      </c>
      <c r="AX54" s="35" t="s">
        <v>291</v>
      </c>
      <c r="AY54" s="20" t="s">
        <v>291</v>
      </c>
      <c r="AZ54" s="20"/>
      <c r="BA54" s="20" t="s">
        <v>291</v>
      </c>
      <c r="BB54" s="29" t="s">
        <v>285</v>
      </c>
      <c r="BC54" s="20">
        <v>1</v>
      </c>
      <c r="BD54" s="20">
        <v>0</v>
      </c>
      <c r="BG54" s="130">
        <v>58</v>
      </c>
      <c r="BH54" s="138" t="s">
        <v>98</v>
      </c>
      <c r="BI54" s="138" t="s">
        <v>281</v>
      </c>
      <c r="BJ54" s="132">
        <v>10</v>
      </c>
      <c r="BK54" s="133">
        <v>10</v>
      </c>
      <c r="BL54" s="132">
        <v>10</v>
      </c>
      <c r="BM54" s="132">
        <v>10</v>
      </c>
      <c r="BN54" s="134"/>
      <c r="BO54" s="134"/>
      <c r="BP54">
        <f t="shared" si="0"/>
        <v>20</v>
      </c>
    </row>
    <row r="55" spans="1:68" ht="15.5" x14ac:dyDescent="0.35">
      <c r="A55" t="s">
        <v>282</v>
      </c>
      <c r="B55" s="108" t="s">
        <v>282</v>
      </c>
      <c r="C55" s="109" t="s">
        <v>283</v>
      </c>
      <c r="D55" s="100" t="s">
        <v>291</v>
      </c>
      <c r="E55" s="100" t="s">
        <v>291</v>
      </c>
      <c r="F55" s="100" t="s">
        <v>291</v>
      </c>
      <c r="G55" s="100" t="s">
        <v>291</v>
      </c>
      <c r="H55" s="100" t="s">
        <v>291</v>
      </c>
      <c r="I55" s="100" t="s">
        <v>291</v>
      </c>
      <c r="J55" s="102" t="s">
        <v>291</v>
      </c>
      <c r="K55" s="102" t="s">
        <v>291</v>
      </c>
      <c r="L55" s="102" t="s">
        <v>291</v>
      </c>
      <c r="M55" s="102" t="s">
        <v>291</v>
      </c>
      <c r="N55" s="23" t="s">
        <v>291</v>
      </c>
      <c r="O55" s="15" t="s">
        <v>291</v>
      </c>
      <c r="P55" s="15" t="s">
        <v>291</v>
      </c>
      <c r="Q55" s="15" t="s">
        <v>291</v>
      </c>
      <c r="R55" s="15" t="s">
        <v>291</v>
      </c>
      <c r="S55" s="24" t="s">
        <v>291</v>
      </c>
      <c r="T55" s="106" t="s">
        <v>291</v>
      </c>
      <c r="U55" s="18" t="s">
        <v>291</v>
      </c>
      <c r="V55" s="19" t="s">
        <v>291</v>
      </c>
      <c r="W55" s="35" t="s">
        <v>291</v>
      </c>
      <c r="X55" s="20" t="s">
        <v>291</v>
      </c>
      <c r="Y55" s="26" t="s">
        <v>291</v>
      </c>
      <c r="Z55" s="20" t="s">
        <v>291</v>
      </c>
      <c r="AA55" s="26" t="s">
        <v>291</v>
      </c>
      <c r="AB55" s="20" t="s">
        <v>291</v>
      </c>
      <c r="AC55" s="35" t="s">
        <v>291</v>
      </c>
      <c r="AD55" s="26" t="s">
        <v>291</v>
      </c>
      <c r="AE55" s="35" t="s">
        <v>291</v>
      </c>
      <c r="AF55" s="35" t="s">
        <v>291</v>
      </c>
      <c r="AG55" s="35" t="s">
        <v>291</v>
      </c>
      <c r="AH55" s="35" t="s">
        <v>291</v>
      </c>
      <c r="AI55" s="21" t="s">
        <v>291</v>
      </c>
      <c r="AJ55" s="81" t="s">
        <v>291</v>
      </c>
      <c r="AK55" s="81" t="s">
        <v>291</v>
      </c>
      <c r="AL55" s="21" t="s">
        <v>291</v>
      </c>
      <c r="AM55" s="21" t="s">
        <v>291</v>
      </c>
      <c r="AN55" s="81" t="s">
        <v>291</v>
      </c>
      <c r="AO55" s="81" t="s">
        <v>291</v>
      </c>
      <c r="AP55" s="81" t="s">
        <v>291</v>
      </c>
      <c r="AQ55" s="81" t="s">
        <v>291</v>
      </c>
      <c r="AR55" s="21" t="s">
        <v>291</v>
      </c>
      <c r="AS55" s="81" t="s">
        <v>291</v>
      </c>
      <c r="AT55" s="35" t="s">
        <v>291</v>
      </c>
      <c r="AU55" s="35" t="s">
        <v>291</v>
      </c>
      <c r="AV55" s="26" t="s">
        <v>291</v>
      </c>
      <c r="AW55" s="35" t="s">
        <v>291</v>
      </c>
      <c r="AX55" s="35" t="s">
        <v>291</v>
      </c>
      <c r="AY55" s="20" t="s">
        <v>291</v>
      </c>
      <c r="AZ55" s="20"/>
      <c r="BA55" s="20" t="s">
        <v>291</v>
      </c>
      <c r="BB55" s="26" t="s">
        <v>291</v>
      </c>
      <c r="BC55" s="20">
        <v>0</v>
      </c>
      <c r="BD55" s="20">
        <v>0</v>
      </c>
      <c r="BG55" s="136">
        <v>59</v>
      </c>
      <c r="BH55" s="137" t="s">
        <v>282</v>
      </c>
      <c r="BI55" s="140" t="s">
        <v>283</v>
      </c>
      <c r="BJ55" s="132">
        <v>10</v>
      </c>
      <c r="BK55" s="133">
        <v>10</v>
      </c>
      <c r="BL55" s="134"/>
      <c r="BM55" s="134"/>
      <c r="BN55" s="134"/>
      <c r="BO55" s="134"/>
      <c r="BP55">
        <f t="shared" si="0"/>
        <v>40</v>
      </c>
    </row>
    <row r="56" spans="1:68" ht="15.5" x14ac:dyDescent="0.35">
      <c r="A56" t="s">
        <v>284</v>
      </c>
      <c r="B56" s="2" t="s">
        <v>284</v>
      </c>
      <c r="C56" s="110" t="s">
        <v>283</v>
      </c>
      <c r="D56" s="100" t="s">
        <v>291</v>
      </c>
      <c r="E56" s="100" t="s">
        <v>291</v>
      </c>
      <c r="F56" s="101" t="s">
        <v>285</v>
      </c>
      <c r="G56" s="100" t="s">
        <v>291</v>
      </c>
      <c r="H56" s="100" t="s">
        <v>291</v>
      </c>
      <c r="I56" s="100" t="s">
        <v>291</v>
      </c>
      <c r="J56" s="102" t="s">
        <v>291</v>
      </c>
      <c r="K56" s="102" t="s">
        <v>291</v>
      </c>
      <c r="L56" s="102" t="s">
        <v>291</v>
      </c>
      <c r="M56" s="102" t="s">
        <v>291</v>
      </c>
      <c r="N56" s="23" t="s">
        <v>291</v>
      </c>
      <c r="O56" s="15" t="s">
        <v>291</v>
      </c>
      <c r="P56" s="15" t="s">
        <v>291</v>
      </c>
      <c r="Q56" s="15" t="s">
        <v>291</v>
      </c>
      <c r="R56" s="15" t="s">
        <v>291</v>
      </c>
      <c r="S56" s="24" t="s">
        <v>291</v>
      </c>
      <c r="T56" s="106" t="s">
        <v>291</v>
      </c>
      <c r="U56" s="18" t="s">
        <v>291</v>
      </c>
      <c r="V56" s="19" t="s">
        <v>291</v>
      </c>
      <c r="W56" s="107" t="s">
        <v>285</v>
      </c>
      <c r="X56" s="20" t="s">
        <v>291</v>
      </c>
      <c r="Y56" s="26" t="s">
        <v>291</v>
      </c>
      <c r="Z56" s="20" t="s">
        <v>291</v>
      </c>
      <c r="AA56" s="26" t="s">
        <v>291</v>
      </c>
      <c r="AB56" s="20" t="s">
        <v>291</v>
      </c>
      <c r="AC56" s="35" t="s">
        <v>291</v>
      </c>
      <c r="AD56" s="31" t="s">
        <v>285</v>
      </c>
      <c r="AE56" s="35" t="s">
        <v>291</v>
      </c>
      <c r="AF56" s="107" t="s">
        <v>285</v>
      </c>
      <c r="AG56" s="35" t="s">
        <v>291</v>
      </c>
      <c r="AH56" s="35" t="s">
        <v>291</v>
      </c>
      <c r="AI56" s="21" t="s">
        <v>291</v>
      </c>
      <c r="AJ56" s="81" t="s">
        <v>291</v>
      </c>
      <c r="AK56" s="81" t="s">
        <v>291</v>
      </c>
      <c r="AL56" s="21" t="s">
        <v>291</v>
      </c>
      <c r="AM56" s="21" t="s">
        <v>291</v>
      </c>
      <c r="AN56" s="81" t="s">
        <v>291</v>
      </c>
      <c r="AO56" s="81" t="s">
        <v>291</v>
      </c>
      <c r="AP56" s="90" t="s">
        <v>285</v>
      </c>
      <c r="AQ56" s="81" t="s">
        <v>291</v>
      </c>
      <c r="AR56" s="90" t="s">
        <v>285</v>
      </c>
      <c r="AS56" s="81" t="s">
        <v>291</v>
      </c>
      <c r="AT56" s="35" t="s">
        <v>291</v>
      </c>
      <c r="AU56" s="35" t="s">
        <v>291</v>
      </c>
      <c r="AV56" s="26" t="s">
        <v>291</v>
      </c>
      <c r="AW56" s="107" t="s">
        <v>285</v>
      </c>
      <c r="AX56" s="35" t="s">
        <v>291</v>
      </c>
      <c r="AY56" s="20" t="s">
        <v>291</v>
      </c>
      <c r="AZ56" s="35"/>
      <c r="BA56" s="20" t="s">
        <v>291</v>
      </c>
      <c r="BB56" s="29" t="s">
        <v>285</v>
      </c>
      <c r="BC56" s="31">
        <v>10</v>
      </c>
      <c r="BD56" s="20">
        <v>0</v>
      </c>
      <c r="BG56" s="130">
        <v>60</v>
      </c>
      <c r="BH56" s="139" t="s">
        <v>421</v>
      </c>
      <c r="BI56" s="139" t="s">
        <v>283</v>
      </c>
      <c r="BJ56" s="132">
        <v>10</v>
      </c>
      <c r="BK56" s="133">
        <v>10</v>
      </c>
      <c r="BL56" s="132">
        <v>10</v>
      </c>
      <c r="BM56" s="132">
        <v>10</v>
      </c>
      <c r="BN56" s="134"/>
      <c r="BO56" s="134"/>
      <c r="BP56">
        <f t="shared" si="0"/>
        <v>20</v>
      </c>
    </row>
  </sheetData>
  <mergeCells count="4">
    <mergeCell ref="D1:X1"/>
    <mergeCell ref="Y1:AR1"/>
    <mergeCell ref="AS1:BB1"/>
    <mergeCell ref="BC1:BD1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9E3C8083B0BC408EA3784C56B7F01C" ma:contentTypeVersion="17" ma:contentTypeDescription="Create a new document." ma:contentTypeScope="" ma:versionID="aef9c2e09ffa447319707844ce559c7b">
  <xsd:schema xmlns:xsd="http://www.w3.org/2001/XMLSchema" xmlns:xs="http://www.w3.org/2001/XMLSchema" xmlns:p="http://schemas.microsoft.com/office/2006/metadata/properties" xmlns:ns3="546679d2-2e3f-4cf2-b41e-29ea27dcf39d" xmlns:ns4="250a7ea4-ef27-4a02-940c-2430205c3312" targetNamespace="http://schemas.microsoft.com/office/2006/metadata/properties" ma:root="true" ma:fieldsID="6ba0dd40ba81b7a683c2605a999c8e51" ns3:_="" ns4:_="">
    <xsd:import namespace="546679d2-2e3f-4cf2-b41e-29ea27dcf39d"/>
    <xsd:import namespace="250a7ea4-ef27-4a02-940c-2430205c33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679d2-2e3f-4cf2-b41e-29ea27dcf3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a7ea4-ef27-4a02-940c-2430205c331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6679d2-2e3f-4cf2-b41e-29ea27dcf39d" xsi:nil="true"/>
  </documentManagement>
</p:properties>
</file>

<file path=customXml/itemProps1.xml><?xml version="1.0" encoding="utf-8"?>
<ds:datastoreItem xmlns:ds="http://schemas.openxmlformats.org/officeDocument/2006/customXml" ds:itemID="{C8FCC7B7-DA2C-4DFC-A2B0-70FB034A0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679d2-2e3f-4cf2-b41e-29ea27dcf39d"/>
    <ds:schemaRef ds:uri="250a7ea4-ef27-4a02-940c-2430205c3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E25A3B-249C-477D-8D6A-46DCEEA051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744D47-2570-4BAE-BB1A-2634C4F3C713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250a7ea4-ef27-4a02-940c-2430205c3312"/>
    <ds:schemaRef ds:uri="546679d2-2e3f-4cf2-b41e-29ea27dcf39d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Montes</dc:creator>
  <cp:lastModifiedBy>Marissa Montes</cp:lastModifiedBy>
  <dcterms:created xsi:type="dcterms:W3CDTF">2026-05-19T18:09:09Z</dcterms:created>
  <dcterms:modified xsi:type="dcterms:W3CDTF">2026-05-20T21:29:51Z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0x0101008E9E3C8083B0BC408EA3784C56B7F01C</vt:lpwstr>
  </property>
</Properties>
</file>